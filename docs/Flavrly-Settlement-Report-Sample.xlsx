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ayout Breakup" sheetId="2" state="visible" r:id="rId4"/>
    <sheet name="Order Level" sheetId="3" state="visible" r:id="rId5"/>
    <sheet name="Additions &amp; Deductions" sheetId="4" state="visible" r:id="rId6"/>
    <sheet name="Discounts Summary" sheetId="5" state="visible" r:id="rId7"/>
    <sheet name="Tax &amp; Compliance" sheetId="6" state="visible" r:id="rId8"/>
    <sheet name="Glossary" sheetId="7" state="visible" r:id="rId9"/>
    <sheet name="Flavrly Add-ons" sheetId="8" state="visible" r:id="rId10"/>
  </sheets>
  <definedNames>
    <definedName function="false" hidden="true" localSheetId="3" name="_xlnm._FilterDatabase" vbProcedure="false">'Additions &amp; Deductions'!$A$4:$H$9</definedName>
    <definedName function="false" hidden="true" localSheetId="7" name="_xlnm._FilterDatabase" vbProcedure="false">'Flavrly Add-ons'!$A$4:$D$19</definedName>
    <definedName function="false" hidden="true" localSheetId="6" name="_xlnm._FilterDatabase" vbProcedure="false">Glossary!$A$4:$C$24</definedName>
    <definedName function="false" hidden="true" localSheetId="2" name="_xlnm._FilterDatabase" vbProcedure="false">'Order Level'!$A$6:$AL$14</definedName>
    <definedName function="false" hidden="true" localSheetId="5" name="_xlnm._FilterDatabase" vbProcedure="false">'Tax &amp; Compliance'!$A$4:$D$11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<sst xmlns="http://schemas.openxmlformats.org/spreadsheetml/2006/main" count="411" uniqueCount="285">
  <si>
    <t xml:space="preserve">FLAVRLY</t>
  </si>
  <si>
    <t xml:space="preserve">Partner Settlement Report</t>
  </si>
  <si>
    <t xml:space="preserve">Report period</t>
  </si>
  <si>
    <t xml:space="preserve">11 May 2026 — 17 May 2026</t>
  </si>
  <si>
    <t xml:space="preserve">Restaurant ID</t>
  </si>
  <si>
    <t xml:space="preserve">18740308</t>
  </si>
  <si>
    <t xml:space="preserve">MID</t>
  </si>
  <si>
    <t xml:space="preserve">145152</t>
  </si>
  <si>
    <t xml:space="preserve">Legal entity</t>
  </si>
  <si>
    <t xml:space="preserve">Sanaga Rajasekhara Reddy (sample)</t>
  </si>
  <si>
    <t xml:space="preserve">Restaurant name</t>
  </si>
  <si>
    <t xml:space="preserve">Combo Nation — Brodipet</t>
  </si>
  <si>
    <t xml:space="preserve">PAN</t>
  </si>
  <si>
    <t xml:space="preserve">ABUPR8322D</t>
  </si>
  <si>
    <t xml:space="preserve">GSTIN</t>
  </si>
  <si>
    <t xml:space="preserve">37ABUPR8322D1Z8</t>
  </si>
  <si>
    <t xml:space="preserve">Settlement cycle</t>
  </si>
  <si>
    <t xml:space="preserve">Weekly (every Wednesday) — configurable to Daily</t>
  </si>
  <si>
    <t xml:space="preserve">Bank account</t>
  </si>
  <si>
    <t xml:space="preserve">XXXXXX7748 (masked)</t>
  </si>
  <si>
    <t xml:space="preserve">Generated by</t>
  </si>
  <si>
    <t xml:space="preserve">Flavrly Settlement Engine v1.0</t>
  </si>
  <si>
    <t xml:space="preserve">SETTLEMENT SUMMARY</t>
  </si>
  <si>
    <t xml:space="preserve">Delivered orders</t>
  </si>
  <si>
    <t xml:space="preserve">Cancelled / rejected orders</t>
  </si>
  <si>
    <t xml:space="preserve">Net order value (A)</t>
  </si>
  <si>
    <t xml:space="preserve">Net deductions (C)</t>
  </si>
  <si>
    <t xml:space="preserve">Net additions (D)</t>
  </si>
  <si>
    <t xml:space="preserve">Net payout to bank</t>
  </si>
  <si>
    <t xml:space="preserve">Settled amount</t>
  </si>
  <si>
    <t xml:space="preserve">Unsettled amount</t>
  </si>
  <si>
    <t xml:space="preserve">Note: amounts illustrative. GST/TCS/TDS rates are configurable; validate treatment with your finance team/CA. Flavrly is not a tax advisor.</t>
  </si>
  <si>
    <t xml:space="preserve">Payout Breakup</t>
  </si>
  <si>
    <t xml:space="preserve">P&amp;L-style reconciliation from net order value to net bank payout</t>
  </si>
  <si>
    <t xml:space="preserve">S.no</t>
  </si>
  <si>
    <t xml:space="preserve">Particular</t>
  </si>
  <si>
    <t xml:space="preserve">Delivered Orders</t>
  </si>
  <si>
    <t xml:space="preserve">Cancelled / Rejected</t>
  </si>
  <si>
    <t xml:space="preserve">Total</t>
  </si>
  <si>
    <t xml:space="preserve">Number of orders</t>
  </si>
  <si>
    <t xml:space="preserve">A</t>
  </si>
  <si>
    <t xml:space="preserve">1</t>
  </si>
  <si>
    <t xml:space="preserve">Subtotal (items total)</t>
  </si>
  <si>
    <t xml:space="preserve">2</t>
  </si>
  <si>
    <t xml:space="preserve">Packaging charge</t>
  </si>
  <si>
    <t xml:space="preserve">3</t>
  </si>
  <si>
    <t xml:space="preserve">Delivery charge from customer</t>
  </si>
  <si>
    <t xml:space="preserve">4</t>
  </si>
  <si>
    <t xml:space="preserve">Restaurant discount (Promo)</t>
  </si>
  <si>
    <t xml:space="preserve">5</t>
  </si>
  <si>
    <t xml:space="preserve">Restaurant discount (BOGO/Freebie)</t>
  </si>
  <si>
    <t xml:space="preserve">6</t>
  </si>
  <si>
    <t xml:space="preserve">Delivery charge discount</t>
  </si>
  <si>
    <t xml:space="preserve">7</t>
  </si>
  <si>
    <t xml:space="preserve">GST collected from customer</t>
  </si>
  <si>
    <t xml:space="preserve">B</t>
  </si>
  <si>
    <t xml:space="preserve">Commission &amp; fees</t>
  </si>
  <si>
    <t xml:space="preserve">8</t>
  </si>
  <si>
    <t xml:space="preserve">Commission / service fee</t>
  </si>
  <si>
    <t xml:space="preserve">9</t>
  </si>
  <si>
    <t xml:space="preserve">Payment mechanism fee</t>
  </si>
  <si>
    <t xml:space="preserve">10</t>
  </si>
  <si>
    <t xml:space="preserve">GST on fees (18%)</t>
  </si>
  <si>
    <t xml:space="preserve">11</t>
  </si>
  <si>
    <t xml:space="preserve">Govt charges — TCS (1%) + TDS 194O (1%)</t>
  </si>
  <si>
    <t xml:space="preserve">C</t>
  </si>
  <si>
    <t xml:space="preserve">Net deductions (C) = 8+9+10+11+other</t>
  </si>
  <si>
    <t xml:space="preserve">D</t>
  </si>
  <si>
    <t xml:space="preserve">Net additions (cancellation/promo recovery)</t>
  </si>
  <si>
    <t xml:space="preserve">D2</t>
  </si>
  <si>
    <t xml:space="preserve">Less: customer compensation + ads</t>
  </si>
  <si>
    <t xml:space="preserve">E</t>
  </si>
  <si>
    <t xml:space="preserve">NET PAYOUT (A − C + D)</t>
  </si>
  <si>
    <t xml:space="preserve">Order Level Breakup</t>
  </si>
  <si>
    <t xml:space="preserve">Per-order settlement detail — Customer Payable → Commissionable → Fees &amp; Taxes → Deductions/Additions → Settlement</t>
  </si>
  <si>
    <t xml:space="preserve">CUSTOMER PAYABLE</t>
  </si>
  <si>
    <t xml:space="preserve">COMMISSIONABLE / FEES &amp; TAXES</t>
  </si>
  <si>
    <t xml:space="preserve">DEDUCTIONS &amp; ADDITIONS</t>
  </si>
  <si>
    <t xml:space="preserve">SETTLEMENT</t>
  </si>
  <si>
    <t xml:space="preserve">Order ID</t>
  </si>
  <si>
    <t xml:space="preserve">Order date</t>
  </si>
  <si>
    <t xml:space="preserve">Res. name</t>
  </si>
  <si>
    <t xml:space="preserve">Discount construct</t>
  </si>
  <si>
    <t xml:space="preserve">Mode of payment</t>
  </si>
  <si>
    <t xml:space="preserve">Order status</t>
  </si>
  <si>
    <t xml:space="preserve">Order type</t>
  </si>
  <si>
    <t xml:space="preserve">Subtotal</t>
  </si>
  <si>
    <t xml:space="preserve">Packaging</t>
  </si>
  <si>
    <t xml:space="preserve">Delivery charge (cust)</t>
  </si>
  <si>
    <t xml:space="preserve">Commissionable value</t>
  </si>
  <si>
    <t xml:space="preserve">Commission %</t>
  </si>
  <si>
    <t xml:space="preserve">Service fee + payment fee</t>
  </si>
  <si>
    <t xml:space="preserve">TCS (1%)</t>
  </si>
  <si>
    <t xml:space="preserve">TDS 194O (1%)</t>
  </si>
  <si>
    <t xml:space="preserve">Govt charges (TCS+TDS+GST on fee)</t>
  </si>
  <si>
    <t xml:space="preserve">Customer compensation</t>
  </si>
  <si>
    <t xml:space="preserve">Cancellation recovery</t>
  </si>
  <si>
    <t xml:space="preserve">Promo recovery adj</t>
  </si>
  <si>
    <t xml:space="preserve">Ads deduction</t>
  </si>
  <si>
    <t xml:space="preserve">Other order-level deduction</t>
  </si>
  <si>
    <t xml:space="preserve">Order level payout</t>
  </si>
  <si>
    <t xml:space="preserve">Settlement status</t>
  </si>
  <si>
    <t xml:space="preserve">Settlement date</t>
  </si>
  <si>
    <t xml:space="preserve">Bank UTR</t>
  </si>
  <si>
    <t xml:space="preserve">Customer ID</t>
  </si>
  <si>
    <t xml:space="preserve">ORD-SEED01</t>
  </si>
  <si>
    <t xml:space="preserve">2026-05-11</t>
  </si>
  <si>
    <t xml:space="preserve">Flat ₹125 off</t>
  </si>
  <si>
    <t xml:space="preserve">UPI</t>
  </si>
  <si>
    <t xml:space="preserve">Delivered</t>
  </si>
  <si>
    <t xml:space="preserve">Delivery</t>
  </si>
  <si>
    <t xml:space="preserve">Settled</t>
  </si>
  <si>
    <t xml:space="preserve">2026-05-21</t>
  </si>
  <si>
    <t xml:space="preserve">CITIN26670847748</t>
  </si>
  <si>
    <t xml:space="preserve">C-1001</t>
  </si>
  <si>
    <t xml:space="preserve">ORD-SEED02</t>
  </si>
  <si>
    <t xml:space="preserve">BOGO</t>
  </si>
  <si>
    <t xml:space="preserve">COD</t>
  </si>
  <si>
    <t xml:space="preserve">C-1002</t>
  </si>
  <si>
    <t xml:space="preserve">ORD-SEED03</t>
  </si>
  <si>
    <t xml:space="preserve">2026-05-12</t>
  </si>
  <si>
    <t xml:space="preserve">50% off upto ₹300</t>
  </si>
  <si>
    <t xml:space="preserve">RAZORPAY</t>
  </si>
  <si>
    <t xml:space="preserve">C-1003</t>
  </si>
  <si>
    <t xml:space="preserve">ORD-SEED04</t>
  </si>
  <si>
    <t xml:space="preserve">2026-05-13</t>
  </si>
  <si>
    <t xml:space="preserve">None</t>
  </si>
  <si>
    <t xml:space="preserve">Pickup</t>
  </si>
  <si>
    <t xml:space="preserve">C-1004</t>
  </si>
  <si>
    <t xml:space="preserve">ORD-SEED05</t>
  </si>
  <si>
    <t xml:space="preserve">2026-05-14</t>
  </si>
  <si>
    <t xml:space="preserve">Happy Hour</t>
  </si>
  <si>
    <t xml:space="preserve">C-1005</t>
  </si>
  <si>
    <t xml:space="preserve">ORD-SEED06</t>
  </si>
  <si>
    <t xml:space="preserve">2026-05-15</t>
  </si>
  <si>
    <t xml:space="preserve">Freebie</t>
  </si>
  <si>
    <t xml:space="preserve">Pending</t>
  </si>
  <si>
    <t xml:space="preserve">C-1006</t>
  </si>
  <si>
    <t xml:space="preserve">ORD-SEED07</t>
  </si>
  <si>
    <t xml:space="preserve">2026-05-16</t>
  </si>
  <si>
    <t xml:space="preserve">Signup bonus</t>
  </si>
  <si>
    <t xml:space="preserve">Cancelled</t>
  </si>
  <si>
    <t xml:space="preserve">C-1007</t>
  </si>
  <si>
    <t xml:space="preserve">ORD-SEED08</t>
  </si>
  <si>
    <t xml:space="preserve">2026-05-17</t>
  </si>
  <si>
    <t xml:space="preserve">Flat ₹175 off</t>
  </si>
  <si>
    <t xml:space="preserve">C-1008</t>
  </si>
  <si>
    <t xml:space="preserve">Additions &amp; Deductions Details</t>
  </si>
  <si>
    <t xml:space="preserve">Ads, adjustments, recoveries and credit/debit notes with settlement status</t>
  </si>
  <si>
    <t xml:space="preserve">Type</t>
  </si>
  <si>
    <t xml:space="preserve">Description</t>
  </si>
  <si>
    <t xml:space="preserve">Invoice / Order ID</t>
  </si>
  <si>
    <t xml:space="preserve">Date</t>
  </si>
  <si>
    <t xml:space="preserve">Total amount</t>
  </si>
  <si>
    <t xml:space="preserve">Adjusted amount</t>
  </si>
  <si>
    <t xml:space="preserve">Outstanding</t>
  </si>
  <si>
    <t xml:space="preserve">ADS</t>
  </si>
  <si>
    <t xml:space="preserve">Visibility ads (banner)</t>
  </si>
  <si>
    <t xml:space="preserve">37052390</t>
  </si>
  <si>
    <t xml:space="preserve">2026-05-20</t>
  </si>
  <si>
    <t xml:space="preserve">Adjustment</t>
  </si>
  <si>
    <t xml:space="preserve">Promo recovery — ORD-SEED07</t>
  </si>
  <si>
    <t xml:space="preserve">Credit note</t>
  </si>
  <si>
    <t xml:space="preserve">Customer compensation — ORD-SEED07</t>
  </si>
  <si>
    <t xml:space="preserve">Recovery</t>
  </si>
  <si>
    <t xml:space="preserve">Cancellation recovery — ORD-SEED07</t>
  </si>
  <si>
    <t xml:space="preserve">Other</t>
  </si>
  <si>
    <t xml:space="preserve">Express order fee waiver</t>
  </si>
  <si>
    <t xml:space="preserve">-</t>
  </si>
  <si>
    <t xml:space="preserve">Offers &amp; Discounts Summary</t>
  </si>
  <si>
    <t xml:space="preserve">Per discount construct: orders, subtotal, discount given, effective %</t>
  </si>
  <si>
    <t xml:space="preserve">Discount Construct</t>
  </si>
  <si>
    <t xml:space="preserve">Orders</t>
  </si>
  <si>
    <t xml:space="preserve">Subtotal (₹)</t>
  </si>
  <si>
    <t xml:space="preserve">Discount given (₹)</t>
  </si>
  <si>
    <t xml:space="preserve">Discount/order (₹)</t>
  </si>
  <si>
    <t xml:space="preserve">Effective Discount %</t>
  </si>
  <si>
    <t xml:space="preserve">TOTAL</t>
  </si>
  <si>
    <t xml:space="preserve">Tax &amp; Compliance (India)</t>
  </si>
  <si>
    <t xml:space="preserve">GST / TCS (Sec 52) / TDS (Sec 194O) breakdown — rates configurable; confirm with your CA</t>
  </si>
  <si>
    <t xml:space="preserve">Component</t>
  </si>
  <si>
    <t xml:space="preserve">Basis</t>
  </si>
  <si>
    <t xml:space="preserve">Rate (configurable)</t>
  </si>
  <si>
    <t xml:space="preserve">Period total (₹)</t>
  </si>
  <si>
    <t xml:space="preserve">GST collected from customer (on food)</t>
  </si>
  <si>
    <t xml:space="preserve">Order subtotal</t>
  </si>
  <si>
    <t xml:space="preserve">5% (illustrative)</t>
  </si>
  <si>
    <t xml:space="preserve">Per restaurant (15–20%)</t>
  </si>
  <si>
    <t xml:space="preserve">Net order value</t>
  </si>
  <si>
    <t xml:space="preserve">~2% (online)</t>
  </si>
  <si>
    <t xml:space="preserve">GST on platform fees</t>
  </si>
  <si>
    <t xml:space="preserve">Service + payment fee</t>
  </si>
  <si>
    <t xml:space="preserve">18%</t>
  </si>
  <si>
    <t xml:space="preserve">TCS under GST (Sec 52)</t>
  </si>
  <si>
    <t xml:space="preserve">1%</t>
  </si>
  <si>
    <t xml:space="preserve">TDS under Income Tax (Sec 194O)</t>
  </si>
  <si>
    <t xml:space="preserve">Gross order value</t>
  </si>
  <si>
    <t xml:space="preserve">Total government charges</t>
  </si>
  <si>
    <t xml:space="preserve">TCS + TDS + GST on fees</t>
  </si>
  <si>
    <t xml:space="preserve">Flavrly (as the e-commerce operator) collects &amp; deposits TCS/TDS and issues GST-compliant invoices + TCS/TDS certificates. Rates above are illustrative defaults and must be validated by your finance team/CA. Flavrly is not a tax advisor.</t>
  </si>
  <si>
    <t xml:space="preserve">Glossary</t>
  </si>
  <si>
    <t xml:space="preserve">Definition of every term used in this settlement report</t>
  </si>
  <si>
    <t xml:space="preserve">Term</t>
  </si>
  <si>
    <t xml:space="preserve">Definition</t>
  </si>
  <si>
    <t xml:space="preserve">Gross total of dishes/items ordered, before charges, taxes and discounts.</t>
  </si>
  <si>
    <t xml:space="preserve">Cost set by the restaurant for packaging, passed to the customer.</t>
  </si>
  <si>
    <t xml:space="preserve">Delivery fee charged to the customer (restaurant share, if any).</t>
  </si>
  <si>
    <t xml:space="preserve">Coupon/percentage/flat promo discount funded by the restaurant.</t>
  </si>
  <si>
    <t xml:space="preserve">Value of BOGO, freebie, happy-hour or item-level offers funded by the restaurant.</t>
  </si>
  <si>
    <t xml:space="preserve">Delivery fee waived/subsidised by the restaurant.</t>
  </si>
  <si>
    <t xml:space="preserve">GST charged to the customer on food (deposited per tax rules).</t>
  </si>
  <si>
    <t xml:space="preserve">Subtotal + Packaging + Delivery − Discounts + GST collected. Base figure for settlement.</t>
  </si>
  <si>
    <t xml:space="preserve">Value on which platform commission is charged (subtotal − restaurant discounts).</t>
  </si>
  <si>
    <t xml:space="preserve">Platform commission = commissionable value × commission %.</t>
  </si>
  <si>
    <t xml:space="preserve">Online payment gateway fee on the order.</t>
  </si>
  <si>
    <t xml:space="preserve">GST on fees</t>
  </si>
  <si>
    <t xml:space="preserve">18% GST on platform commission + payment fee.</t>
  </si>
  <si>
    <t xml:space="preserve">TCS (Sec 52)</t>
  </si>
  <si>
    <t xml:space="preserve">Tax Collected at Source under GST by the e-commerce operator (1%).</t>
  </si>
  <si>
    <t xml:space="preserve">TDS (Sec 194O)</t>
  </si>
  <si>
    <t xml:space="preserve">Tax Deducted at Source on gross order value (1%).</t>
  </si>
  <si>
    <t xml:space="preserve">Net deductions</t>
  </si>
  <si>
    <t xml:space="preserve">Commission + fees + GST on fees + TCS + TDS + other order-level deductions.</t>
  </si>
  <si>
    <t xml:space="preserve">Net additions</t>
  </si>
  <si>
    <t xml:space="preserve">Cancellation/promo recoveries credited back to the restaurant.</t>
  </si>
  <si>
    <t xml:space="preserve">Net payout</t>
  </si>
  <si>
    <t xml:space="preserve">Net order value − Net deductions + Net additions = amount settled to bank.</t>
  </si>
  <si>
    <t xml:space="preserve">Settled (paid to bank with UTR) or Pending (in next cycle).</t>
  </si>
  <si>
    <t xml:space="preserve">Unique Transaction Reference of the bank credit for the settlement.</t>
  </si>
  <si>
    <t xml:space="preserve">The named offer applied (BOGO, coupon, happy hour, freebie, signup bonus).</t>
  </si>
  <si>
    <t xml:space="preserve">Flavrly Differentiators — 'Even Better' Add-ons</t>
  </si>
  <si>
    <t xml:space="preserve">What Flavrly does beyond a static weekly settlement xlsx</t>
  </si>
  <si>
    <t xml:space="preserve">#</t>
  </si>
  <si>
    <t xml:space="preserve">Differentiator</t>
  </si>
  <si>
    <t xml:space="preserve">What it does</t>
  </si>
  <si>
    <t xml:space="preserve">Client benefit</t>
  </si>
  <si>
    <t xml:space="preserve">Live settlement dashboard</t>
  </si>
  <si>
    <t xml:space="preserve">Real-time payable balance + projected next payout, not just a weekly file</t>
  </si>
  <si>
    <t xml:space="preserve">Always-on visibility into cash</t>
  </si>
  <si>
    <t xml:space="preserve">Configurable / Daily settlement</t>
  </si>
  <si>
    <t xml:space="preserve">Daily, T+1 or weekly cycles per restaurant (Zomato = fixed weekly)</t>
  </si>
  <si>
    <t xml:space="preserve">Faster, smoother cash flow</t>
  </si>
  <si>
    <t xml:space="preserve">Instant payout (early settlement)</t>
  </si>
  <si>
    <t xml:space="preserve">Optional advance against confirmed receivables</t>
  </si>
  <si>
    <t xml:space="preserve">Liquidity on demand</t>
  </si>
  <si>
    <t xml:space="preserve">Auto-reconciliation &amp; dispute flags</t>
  </si>
  <si>
    <t xml:space="preserve">Auto-detects mismatches (refund vs charge, COD shortfall, commission anomaly) + one-click raise</t>
  </si>
  <si>
    <t xml:space="preserve">Catches money leakage automatically</t>
  </si>
  <si>
    <t xml:space="preserve">Commission transparency</t>
  </si>
  <si>
    <t xml:space="preserve">Per-item/category commission + effective take-rate trend</t>
  </si>
  <si>
    <t xml:space="preserve">Negotiate &amp; optimise with data</t>
  </si>
  <si>
    <t xml:space="preserve">Tax-ready exports</t>
  </si>
  <si>
    <t xml:space="preserve">Auto GST invoice + TCS/TDS certificates + GSTR-friendly CSV</t>
  </si>
  <si>
    <t xml:space="preserve">Painless tax filing</t>
  </si>
  <si>
    <t xml:space="preserve">Multi-format &amp; auto-delivery</t>
  </si>
  <si>
    <t xml:space="preserve">xlsx + PDF + JSON/API + email + WhatsApp summary, auto-sent each cycle</t>
  </si>
  <si>
    <t xml:space="preserve">Report comes to you, any format</t>
  </si>
  <si>
    <t xml:space="preserve">Interactive drill-down</t>
  </si>
  <si>
    <t xml:space="preserve">Filter by branch, payment mode, discount construct; group/brand rollup for multi-outlet owners</t>
  </si>
  <si>
    <t xml:space="preserve">Answers questions instantly</t>
  </si>
  <si>
    <t xml:space="preserve">Discount ROI insights</t>
  </si>
  <si>
    <t xml:space="preserve">Effective discount % vs incremental orders; suggests under/over-performing offers</t>
  </si>
  <si>
    <t xml:space="preserve">Spend promo budget smarter</t>
  </si>
  <si>
    <t xml:space="preserve">Payout forecasting</t>
  </si>
  <si>
    <t xml:space="preserve">Projects next payout from in-flight orders</t>
  </si>
  <si>
    <t xml:space="preserve">Plan working capital</t>
  </si>
  <si>
    <t xml:space="preserve">Immutable audit trail</t>
  </si>
  <si>
    <t xml:space="preserve">Every line traces to order + audit log; tamper-evident</t>
  </si>
  <si>
    <t xml:space="preserve">Trust &amp; dispute-proof</t>
  </si>
  <si>
    <t xml:space="preserve">12</t>
  </si>
  <si>
    <t xml:space="preserve">Bank statement match</t>
  </si>
  <si>
    <t xml:space="preserve">Upload bank statement → auto-match UTRs → flag unsettled</t>
  </si>
  <si>
    <t xml:space="preserve">Self-serve reconciliation</t>
  </si>
  <si>
    <t xml:space="preserve">13</t>
  </si>
  <si>
    <t xml:space="preserve">Accounting integrations</t>
  </si>
  <si>
    <t xml:space="preserve">Push to Tally / Zoho Books / QuickBooks via API</t>
  </si>
  <si>
    <t xml:space="preserve">No manual data entry</t>
  </si>
  <si>
    <t xml:space="preserve">14</t>
  </si>
  <si>
    <t xml:space="preserve">Smart alerts</t>
  </si>
  <si>
    <t xml:space="preserve">Payout credited, settlement delayed, deduction spike, dispute SLA</t>
  </si>
  <si>
    <t xml:space="preserve">Never miss a money event</t>
  </si>
  <si>
    <t xml:space="preserve">15</t>
  </si>
  <si>
    <t xml:space="preserve">Wallet-first refund clarity</t>
  </si>
  <si>
    <t xml:space="preserve">Flavrly's wallet-first refunds shown distinctly from gateway reversals</t>
  </si>
  <si>
    <t xml:space="preserve">Cleaner refund accounting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</si>
</sst>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.00;[RED]&quot;(₹&quot;#,##0.00\);\-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23E5C"/>
      <name val="Arial"/>
      <family val="0"/>
      <charset val="1"/>
    </font>
    <font>
      <b val="true"/>
      <sz val="14"/>
      <color rgb="FF7A1F9E"/>
      <name val="Arial"/>
      <family val="0"/>
      <charset val="1"/>
    </font>
    <font>
      <b val="true"/>
      <sz val="10"/>
      <color rgb="FF1A0F1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23E5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943634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7A1F9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3E5C"/>
        <bgColor rgb="FF993366"/>
      </patternFill>
    </fill>
    <fill>
      <patternFill patternType="solid">
        <fgColor rgb="FFFCEEF1"/>
        <bgColor rgb="FFF7E0E6"/>
      </patternFill>
    </fill>
    <fill>
      <patternFill patternType="solid">
        <fgColor rgb="FFF7E0E6"/>
        <bgColor rgb="FFFCEE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23E5C"/>
          <bgColor rgb="FF000000"/>
        </patternFill>
      </fill>
    </dxf>
    <dxf>
      <fill>
        <patternFill patternType="solid">
          <fgColor rgb="FFFCEE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A1F9E"/>
      <rgbColor rgb="FF008080"/>
      <rgbColor rgb="FFC0C0C0"/>
      <rgbColor rgb="FF808080"/>
      <rgbColor rgb="FF9999FF"/>
      <rgbColor rgb="FF943634"/>
      <rgbColor rgb="FFFCEEF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E0E6"/>
      <rgbColor rgb="FF3366FF"/>
      <rgbColor rgb="FF33CCCC"/>
      <rgbColor rgb="FF99CC00"/>
      <rgbColor rgb="FFFFCC00"/>
      <rgbColor rgb="FFFF9900"/>
      <rgbColor rgb="FFF23E5C"/>
      <rgbColor rgb="FF595959"/>
      <rgbColor rgb="FF969696"/>
      <rgbColor rgb="FF003366"/>
      <rgbColor rgb="FF339966"/>
      <rgbColor rgb="FF003300"/>
      <rgbColor rgb="FF1A0F1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2"/>
  </cols>
  <sheetData>
    <row r="1" customFormat="false" ht="31.5" hidden="false" customHeight="false" outlineLevel="0" collapsed="false">
      <c r="A1" s="1" t="s">
        <v>0</v>
      </c>
      <c r="B1" s="1"/>
      <c r="C1" s="1"/>
      <c r="D1" s="1"/>
    </row>
    <row r="2" customFormat="false" ht="17.3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 t="s">
        <v>3</v>
      </c>
      <c r="C4" s="4"/>
      <c r="D4" s="4"/>
    </row>
    <row r="5" customFormat="false" ht="15" hidden="false" customHeight="false" outlineLevel="0" collapsed="false">
      <c r="A5" s="3" t="s">
        <v>4</v>
      </c>
      <c r="B5" s="4" t="s">
        <v>5</v>
      </c>
      <c r="C5" s="4"/>
      <c r="D5" s="4"/>
    </row>
    <row r="6" customFormat="false" ht="15" hidden="false" customHeight="false" outlineLevel="0" collapsed="false">
      <c r="A6" s="3" t="s">
        <v>6</v>
      </c>
      <c r="B6" s="4" t="s">
        <v>7</v>
      </c>
      <c r="C6" s="4"/>
      <c r="D6" s="4"/>
    </row>
    <row r="7" customFormat="false" ht="15" hidden="false" customHeight="false" outlineLevel="0" collapsed="false">
      <c r="A7" s="3" t="s">
        <v>8</v>
      </c>
      <c r="B7" s="4" t="s">
        <v>9</v>
      </c>
      <c r="C7" s="4"/>
      <c r="D7" s="4"/>
    </row>
    <row r="8" customFormat="false" ht="15" hidden="false" customHeight="false" outlineLevel="0" collapsed="false">
      <c r="A8" s="3" t="s">
        <v>10</v>
      </c>
      <c r="B8" s="4" t="s">
        <v>11</v>
      </c>
      <c r="C8" s="4"/>
      <c r="D8" s="4"/>
    </row>
    <row r="9" customFormat="false" ht="15" hidden="false" customHeight="false" outlineLevel="0" collapsed="false">
      <c r="A9" s="3" t="s">
        <v>12</v>
      </c>
      <c r="B9" s="4" t="s">
        <v>13</v>
      </c>
      <c r="C9" s="4"/>
      <c r="D9" s="4"/>
    </row>
    <row r="10" customFormat="false" ht="15" hidden="false" customHeight="false" outlineLevel="0" collapsed="false">
      <c r="A10" s="3" t="s">
        <v>14</v>
      </c>
      <c r="B10" s="4" t="s">
        <v>15</v>
      </c>
      <c r="C10" s="4"/>
      <c r="D10" s="4"/>
    </row>
    <row r="11" customFormat="false" ht="15" hidden="false" customHeight="false" outlineLevel="0" collapsed="false">
      <c r="A11" s="3" t="s">
        <v>16</v>
      </c>
      <c r="B11" s="4" t="s">
        <v>17</v>
      </c>
      <c r="C11" s="4"/>
      <c r="D11" s="4"/>
    </row>
    <row r="12" customFormat="false" ht="15" hidden="false" customHeight="false" outlineLevel="0" collapsed="false">
      <c r="A12" s="3" t="s">
        <v>18</v>
      </c>
      <c r="B12" s="4" t="s">
        <v>19</v>
      </c>
      <c r="C12" s="4"/>
      <c r="D12" s="4"/>
    </row>
    <row r="13" customFormat="false" ht="15" hidden="false" customHeight="false" outlineLevel="0" collapsed="false">
      <c r="A13" s="3" t="s">
        <v>20</v>
      </c>
      <c r="B13" s="4" t="s">
        <v>21</v>
      </c>
      <c r="C13" s="4"/>
      <c r="D13" s="4"/>
    </row>
    <row r="15" customFormat="false" ht="15" hidden="false" customHeight="false" outlineLevel="0" collapsed="false">
      <c r="A15" s="5" t="s">
        <v>22</v>
      </c>
    </row>
    <row r="16" customFormat="false" ht="15" hidden="false" customHeight="false" outlineLevel="0" collapsed="false">
      <c r="A16" s="3" t="s">
        <v>23</v>
      </c>
      <c r="B16" s="6" t="n">
        <f aca="false">'Payout Breakup'!C4</f>
        <v>7</v>
      </c>
    </row>
    <row r="17" customFormat="false" ht="15" hidden="false" customHeight="false" outlineLevel="0" collapsed="false">
      <c r="A17" s="3" t="s">
        <v>24</v>
      </c>
      <c r="B17" s="6" t="n">
        <f aca="false">'Payout Breakup'!D4</f>
        <v>1</v>
      </c>
    </row>
    <row r="18" customFormat="false" ht="15" hidden="false" customHeight="false" outlineLevel="0" collapsed="false">
      <c r="A18" s="3" t="s">
        <v>25</v>
      </c>
      <c r="B18" s="7" t="n">
        <f aca="false">'Payout Breakup'!E6</f>
        <v>4481</v>
      </c>
    </row>
    <row r="19" customFormat="false" ht="15" hidden="false" customHeight="false" outlineLevel="0" collapsed="false">
      <c r="A19" s="3" t="s">
        <v>26</v>
      </c>
      <c r="B19" s="7" t="n">
        <f aca="false">'Payout Breakup'!E20</f>
        <v>1064.3544</v>
      </c>
    </row>
    <row r="20" customFormat="false" ht="15" hidden="false" customHeight="false" outlineLevel="0" collapsed="false">
      <c r="A20" s="3" t="s">
        <v>27</v>
      </c>
      <c r="B20" s="7" t="n">
        <f aca="false">'Payout Breakup'!E22</f>
        <v>40</v>
      </c>
    </row>
    <row r="21" customFormat="false" ht="15" hidden="false" customHeight="false" outlineLevel="0" collapsed="false">
      <c r="A21" s="3" t="s">
        <v>28</v>
      </c>
      <c r="B21" s="8" t="n">
        <f aca="false">'Payout Breakup'!E25</f>
        <v>3226.6456</v>
      </c>
    </row>
    <row r="22" customFormat="false" ht="15" hidden="false" customHeight="false" outlineLevel="0" collapsed="false">
      <c r="A22" s="3" t="s">
        <v>29</v>
      </c>
      <c r="B22" s="7" t="n">
        <f aca="false">SUMIF('Order Level'!AH7:AH100,"Settled",'Order Level'!AG7:AG100)</f>
        <v>1940.5746</v>
      </c>
    </row>
    <row r="23" customFormat="false" ht="15" hidden="false" customHeight="false" outlineLevel="0" collapsed="false">
      <c r="A23" s="3" t="s">
        <v>30</v>
      </c>
      <c r="B23" s="7" t="n">
        <f aca="false">SUMIF('Order Level'!AH7:AH100,"Pending",'Order Level'!AG7:AG100)</f>
        <v>1286.071</v>
      </c>
    </row>
    <row r="25" customFormat="false" ht="15" hidden="false" customHeight="false" outlineLevel="0" collapsed="false">
      <c r="A25" s="9" t="s">
        <v>31</v>
      </c>
      <c r="B25" s="9"/>
      <c r="C25" s="9"/>
      <c r="D25" s="9"/>
    </row>
  </sheetData>
  <mergeCells count="13">
    <mergeCell ref="A1:D1"/>
    <mergeCell ref="A2:D2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5" min="3" style="0" width="20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</row>
    <row r="2" customFormat="false" ht="15" hidden="false" customHeight="false" outlineLevel="0" collapsed="false">
      <c r="A2" s="11" t="s">
        <v>33</v>
      </c>
      <c r="B2" s="11"/>
      <c r="C2" s="11"/>
      <c r="D2" s="11"/>
      <c r="E2" s="11"/>
    </row>
    <row r="3" customFormat="false" ht="15" hidden="false" customHeight="false" outlineLevel="0" collapsed="false">
      <c r="A3" s="12" t="s">
        <v>34</v>
      </c>
      <c r="B3" s="12" t="s">
        <v>35</v>
      </c>
      <c r="C3" s="12" t="s">
        <v>36</v>
      </c>
      <c r="D3" s="12" t="s">
        <v>37</v>
      </c>
      <c r="E3" s="12" t="s">
        <v>38</v>
      </c>
    </row>
    <row r="4" customFormat="false" ht="15" hidden="false" customHeight="false" outlineLevel="0" collapsed="false">
      <c r="A4" s="13"/>
      <c r="B4" s="14" t="s">
        <v>39</v>
      </c>
      <c r="C4" s="13" t="n">
        <f aca="false">COUNTIFS('Order Level'!G7:G14,"Delivered")</f>
        <v>7</v>
      </c>
      <c r="D4" s="13" t="n">
        <f aca="false">COUNTIFS('Order Level'!G7:G14,"&lt;&gt;Delivered")</f>
        <v>1</v>
      </c>
      <c r="E4" s="13" t="n">
        <f aca="false">COUNTA('Order Level'!B7:B14)</f>
        <v>8</v>
      </c>
    </row>
    <row r="6" customFormat="false" ht="15" hidden="false" customHeight="false" outlineLevel="0" collapsed="false">
      <c r="A6" s="15" t="s">
        <v>40</v>
      </c>
      <c r="B6" s="15" t="s">
        <v>25</v>
      </c>
      <c r="C6" s="16" t="n">
        <f aca="false">SUMIFS('Order Level'!P7:P14,'Order Level'!$G$7:$G$14,"Delivered")</f>
        <v>4206</v>
      </c>
      <c r="D6" s="16" t="n">
        <f aca="false">SUMIFS('Order Level'!P7:P14,'Order Level'!$G$7:$G$14,"&lt;&gt;Delivered")</f>
        <v>275</v>
      </c>
      <c r="E6" s="16" t="n">
        <f aca="false">SUM('Order Level'!P7:P14)</f>
        <v>4481</v>
      </c>
    </row>
    <row r="7" customFormat="false" ht="15" hidden="false" customHeight="false" outlineLevel="0" collapsed="false">
      <c r="A7" s="13" t="s">
        <v>41</v>
      </c>
      <c r="B7" s="13" t="s">
        <v>42</v>
      </c>
      <c r="C7" s="17" t="n">
        <f aca="false">SUMIFS('Order Level'!I7:I14,'Order Level'!$G$7:$G$14,"Delivered")</f>
        <v>4700</v>
      </c>
      <c r="D7" s="17" t="n">
        <f aca="false">SUMIFS('Order Level'!I7:I14,'Order Level'!$G$7:$G$14,"&lt;&gt;Delivered")</f>
        <v>300</v>
      </c>
      <c r="E7" s="17" t="n">
        <f aca="false">SUM('Order Level'!I7:I14)</f>
        <v>5000</v>
      </c>
    </row>
    <row r="8" customFormat="false" ht="15" hidden="false" customHeight="false" outlineLevel="0" collapsed="false">
      <c r="A8" s="13" t="s">
        <v>43</v>
      </c>
      <c r="B8" s="13" t="s">
        <v>44</v>
      </c>
      <c r="C8" s="17" t="n">
        <f aca="false">SUMIFS('Order Level'!J7:J14,'Order Level'!$G$7:$G$14,"Delivered")</f>
        <v>125</v>
      </c>
      <c r="D8" s="17" t="n">
        <f aca="false">SUMIFS('Order Level'!J7:J14,'Order Level'!$G$7:$G$14,"&lt;&gt;Delivered")</f>
        <v>10</v>
      </c>
      <c r="E8" s="17" t="n">
        <f aca="false">SUM('Order Level'!J7:J14)</f>
        <v>135</v>
      </c>
    </row>
    <row r="9" customFormat="false" ht="15" hidden="false" customHeight="false" outlineLevel="0" collapsed="false">
      <c r="A9" s="13" t="s">
        <v>45</v>
      </c>
      <c r="B9" s="13" t="s">
        <v>46</v>
      </c>
      <c r="C9" s="17" t="n">
        <f aca="false">SUMIFS('Order Level'!K7:K14,'Order Level'!$G$7:$G$14,"Delivered")</f>
        <v>50</v>
      </c>
      <c r="D9" s="17" t="n">
        <f aca="false">SUMIFS('Order Level'!K7:K14,'Order Level'!$G$7:$G$14,"&lt;&gt;Delivered")</f>
        <v>0</v>
      </c>
      <c r="E9" s="17" t="n">
        <f aca="false">SUM('Order Level'!K7:K14)</f>
        <v>50</v>
      </c>
    </row>
    <row r="10" customFormat="false" ht="15" hidden="false" customHeight="false" outlineLevel="0" collapsed="false">
      <c r="A10" s="13" t="s">
        <v>47</v>
      </c>
      <c r="B10" s="13" t="s">
        <v>48</v>
      </c>
      <c r="C10" s="17" t="n">
        <f aca="false">SUMIFS('Order Level'!L7:L14,'Order Level'!$G$7:$G$14,"Delivered")</f>
        <v>684</v>
      </c>
      <c r="D10" s="17" t="n">
        <f aca="false">SUMIFS('Order Level'!L7:L14,'Order Level'!$G$7:$G$14,"&lt;&gt;Delivered")</f>
        <v>50</v>
      </c>
      <c r="E10" s="17" t="n">
        <f aca="false">SUM('Order Level'!L7:L14)</f>
        <v>734</v>
      </c>
    </row>
    <row r="11" customFormat="false" ht="15" hidden="false" customHeight="false" outlineLevel="0" collapsed="false">
      <c r="A11" s="13" t="s">
        <v>49</v>
      </c>
      <c r="B11" s="13" t="s">
        <v>50</v>
      </c>
      <c r="C11" s="17" t="n">
        <f aca="false">SUMIFS('Order Level'!M7:M14,'Order Level'!$G$7:$G$14,"Delivered")</f>
        <v>220</v>
      </c>
      <c r="D11" s="17" t="n">
        <f aca="false">SUMIFS('Order Level'!M7:M14,'Order Level'!$G$7:$G$14,"&lt;&gt;Delivered")</f>
        <v>0</v>
      </c>
      <c r="E11" s="17" t="n">
        <f aca="false">SUM('Order Level'!M7:M14)</f>
        <v>220</v>
      </c>
    </row>
    <row r="12" customFormat="false" ht="15" hidden="false" customHeight="false" outlineLevel="0" collapsed="false">
      <c r="A12" s="13" t="s">
        <v>51</v>
      </c>
      <c r="B12" s="13" t="s">
        <v>52</v>
      </c>
      <c r="C12" s="17" t="n">
        <f aca="false">SUMIFS('Order Level'!N7:N14,'Order Level'!$G$7:$G$14,"Delivered")</f>
        <v>0</v>
      </c>
      <c r="D12" s="17" t="n">
        <f aca="false">SUMIFS('Order Level'!N7:N14,'Order Level'!$G$7:$G$14,"&lt;&gt;Delivered")</f>
        <v>0</v>
      </c>
      <c r="E12" s="17" t="n">
        <f aca="false">SUM('Order Level'!N7:N14)</f>
        <v>0</v>
      </c>
    </row>
    <row r="13" customFormat="false" ht="15" hidden="false" customHeight="false" outlineLevel="0" collapsed="false">
      <c r="A13" s="13" t="s">
        <v>53</v>
      </c>
      <c r="B13" s="13" t="s">
        <v>54</v>
      </c>
      <c r="C13" s="17" t="n">
        <f aca="false">SUMIFS('Order Level'!O7:O14,'Order Level'!$G$7:$G$14,"Delivered")</f>
        <v>235</v>
      </c>
      <c r="D13" s="17" t="n">
        <f aca="false">SUMIFS('Order Level'!O7:O14,'Order Level'!$G$7:$G$14,"&lt;&gt;Delivered")</f>
        <v>15</v>
      </c>
      <c r="E13" s="17" t="n">
        <f aca="false">SUM('Order Level'!O7:O14)</f>
        <v>250</v>
      </c>
    </row>
    <row r="15" customFormat="false" ht="15" hidden="false" customHeight="false" outlineLevel="0" collapsed="false">
      <c r="A15" s="15" t="s">
        <v>55</v>
      </c>
      <c r="B15" s="15" t="s">
        <v>56</v>
      </c>
      <c r="C15" s="16" t="n">
        <f aca="false">SUMIFS('Order Level'!U7:U14,'Order Level'!$G$7:$G$14,"Delivered")</f>
        <v>769.08</v>
      </c>
      <c r="D15" s="16" t="n">
        <f aca="false">SUMIFS('Order Level'!U7:U14,'Order Level'!$G$7:$G$14,"&lt;&gt;Delivered")</f>
        <v>51</v>
      </c>
      <c r="E15" s="16" t="n">
        <f aca="false">SUM('Order Level'!U7:U14)</f>
        <v>820.08</v>
      </c>
    </row>
    <row r="16" customFormat="false" ht="15" hidden="false" customHeight="false" outlineLevel="0" collapsed="false">
      <c r="A16" s="13" t="s">
        <v>57</v>
      </c>
      <c r="B16" s="13" t="s">
        <v>58</v>
      </c>
      <c r="C16" s="17" t="n">
        <f aca="false">SUMIFS('Order Level'!S7:S14,'Order Level'!$G$7:$G$14,"Delivered")</f>
        <v>702.28</v>
      </c>
      <c r="D16" s="17" t="n">
        <f aca="false">SUMIFS('Order Level'!S7:S14,'Order Level'!$G$7:$G$14,"&lt;&gt;Delivered")</f>
        <v>45</v>
      </c>
      <c r="E16" s="17" t="n">
        <f aca="false">SUM('Order Level'!S7:S14)</f>
        <v>747.28</v>
      </c>
    </row>
    <row r="17" customFormat="false" ht="15" hidden="false" customHeight="false" outlineLevel="0" collapsed="false">
      <c r="A17" s="13" t="s">
        <v>59</v>
      </c>
      <c r="B17" s="13" t="s">
        <v>60</v>
      </c>
      <c r="C17" s="17" t="n">
        <f aca="false">SUMIFS('Order Level'!T7:T14,'Order Level'!$G$7:$G$14,"Delivered")</f>
        <v>66.8</v>
      </c>
      <c r="D17" s="17" t="n">
        <f aca="false">SUMIFS('Order Level'!T7:T14,'Order Level'!$G$7:$G$14,"&lt;&gt;Delivered")</f>
        <v>6</v>
      </c>
      <c r="E17" s="17" t="n">
        <f aca="false">SUM('Order Level'!T7:T14)</f>
        <v>72.8</v>
      </c>
    </row>
    <row r="18" customFormat="false" ht="15" hidden="false" customHeight="false" outlineLevel="0" collapsed="false">
      <c r="A18" s="13" t="s">
        <v>61</v>
      </c>
      <c r="B18" s="13" t="s">
        <v>62</v>
      </c>
      <c r="C18" s="17" t="n">
        <f aca="false">SUMIFS('Order Level'!V7:V14,'Order Level'!$G$7:$G$14,"Delivered")</f>
        <v>138.4344</v>
      </c>
      <c r="D18" s="17" t="n">
        <f aca="false">SUMIFS('Order Level'!V7:V14,'Order Level'!$G$7:$G$14,"&lt;&gt;Delivered")</f>
        <v>9.18</v>
      </c>
      <c r="E18" s="17" t="n">
        <f aca="false">SUM('Order Level'!V7:V14)</f>
        <v>147.6144</v>
      </c>
    </row>
    <row r="19" customFormat="false" ht="15" hidden="false" customHeight="false" outlineLevel="0" collapsed="false">
      <c r="A19" s="13" t="s">
        <v>63</v>
      </c>
      <c r="B19" s="13" t="s">
        <v>64</v>
      </c>
      <c r="C19" s="17" t="n">
        <f aca="false">SUMIFS('Order Level'!W7:W14,'Order Level'!$G$7:$G$14,"Delivered")+SUMIFS('Order Level'!X7:X14,'Order Level'!$G$7:$G$14,"Delivered")</f>
        <v>90.81</v>
      </c>
      <c r="D19" s="17" t="n">
        <f aca="false">SUMIFS('Order Level'!W7:W14,'Order Level'!$G$7:$G$14,"&lt;&gt;Delivered")+SUMIFS('Order Level'!X7:X14,'Order Level'!$G$7:$G$14,"&lt;&gt;Delivered")</f>
        <v>5.85</v>
      </c>
      <c r="E19" s="17" t="n">
        <f aca="false">SUM('Order Level'!W7:W14)+SUM('Order Level'!X7:X14)</f>
        <v>96.66</v>
      </c>
    </row>
    <row r="20" customFormat="false" ht="15" hidden="false" customHeight="false" outlineLevel="0" collapsed="false">
      <c r="A20" s="18" t="s">
        <v>65</v>
      </c>
      <c r="B20" s="18" t="s">
        <v>66</v>
      </c>
      <c r="C20" s="19" t="n">
        <f aca="false">SUMIFS('Order Level'!AE7:AE14,'Order Level'!$G$7:$G$14,"Delivered")</f>
        <v>998.3244</v>
      </c>
      <c r="D20" s="19" t="n">
        <f aca="false">SUMIFS('Order Level'!AE7:AE14,'Order Level'!$G$7:$G$14,"&lt;&gt;Delivered")</f>
        <v>66.03</v>
      </c>
      <c r="E20" s="19" t="n">
        <f aca="false">SUM('Order Level'!AE7:AE14)</f>
        <v>1064.3544</v>
      </c>
    </row>
    <row r="22" customFormat="false" ht="15" hidden="false" customHeight="false" outlineLevel="0" collapsed="false">
      <c r="A22" s="14" t="s">
        <v>67</v>
      </c>
      <c r="B22" s="14" t="s">
        <v>68</v>
      </c>
      <c r="C22" s="20" t="n">
        <f aca="false">SUMIFS('Order Level'!AF7:AF14,'Order Level'!$G$7:$G$14,"Delivered")</f>
        <v>0</v>
      </c>
      <c r="D22" s="20" t="n">
        <f aca="false">SUMIFS('Order Level'!AF7:AF14,'Order Level'!$G$7:$G$14,"&lt;&gt;Delivered")</f>
        <v>40</v>
      </c>
      <c r="E22" s="20" t="n">
        <f aca="false">SUM('Order Level'!AF7:AF14)</f>
        <v>40</v>
      </c>
    </row>
    <row r="23" customFormat="false" ht="15" hidden="false" customHeight="false" outlineLevel="0" collapsed="false">
      <c r="A23" s="13" t="s">
        <v>69</v>
      </c>
      <c r="B23" s="13" t="s">
        <v>70</v>
      </c>
      <c r="C23" s="17" t="n">
        <f aca="false">SUMIFS('Order Level'!Z7:Z14,'Order Level'!$G$7:$G$14,"Delivered")+SUMIFS('Order Level'!AC7:AC14,'Order Level'!$G$7:$G$14,"Delivered")</f>
        <v>150</v>
      </c>
      <c r="D23" s="17" t="n">
        <f aca="false">SUMIFS('Order Level'!Z7:Z14,'Order Level'!$G$7:$G$14,"&lt;&gt;Delivered")+SUMIFS('Order Level'!AC7:AC14,'Order Level'!$G$7:$G$14,"&lt;&gt;Delivered")</f>
        <v>80</v>
      </c>
      <c r="E23" s="17" t="n">
        <f aca="false">SUM('Order Level'!Z7:Z14)+SUM('Order Level'!AC7:AC14)</f>
        <v>230</v>
      </c>
    </row>
    <row r="25" customFormat="false" ht="15" hidden="false" customHeight="false" outlineLevel="0" collapsed="false">
      <c r="A25" s="15" t="s">
        <v>71</v>
      </c>
      <c r="B25" s="15" t="s">
        <v>72</v>
      </c>
      <c r="C25" s="16" t="n">
        <f aca="false">SUMIFS('Order Level'!AG7:AG14,'Order Level'!$G$7:$G$14,"Delivered")</f>
        <v>3057.6756</v>
      </c>
      <c r="D25" s="16" t="n">
        <f aca="false">SUMIFS('Order Level'!AG7:AG14,'Order Level'!$G$7:$G$14,"&lt;&gt;Delivered")</f>
        <v>168.97</v>
      </c>
      <c r="E25" s="16" t="n">
        <f aca="false">SUM('Order Level'!AG7:AG14)</f>
        <v>3226.6456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16"/>
    <col collapsed="false" customWidth="true" hidden="false" outlineLevel="0" max="17" min="14" style="0" width="15"/>
    <col collapsed="false" customWidth="true" hidden="false" outlineLevel="0" max="18" min="18" style="0" width="8"/>
    <col collapsed="false" customWidth="true" hidden="false" outlineLevel="0" max="19" min="19" style="0" width="15"/>
    <col collapsed="false" customWidth="true" hidden="false" outlineLevel="0" max="20" min="20" style="0" width="13"/>
    <col collapsed="false" customWidth="true" hidden="false" outlineLevel="0" max="21" min="21" style="0" width="14"/>
    <col collapsed="false" customWidth="true" hidden="false" outlineLevel="0" max="22" min="22" style="0" width="12"/>
    <col collapsed="false" customWidth="true" hidden="false" outlineLevel="0" max="23" min="23" style="0" width="10"/>
    <col collapsed="false" customWidth="true" hidden="false" outlineLevel="0" max="24" min="24" style="0" width="11"/>
    <col collapsed="false" customWidth="true" hidden="false" outlineLevel="0" max="28" min="25" style="0" width="13"/>
    <col collapsed="false" customWidth="true" hidden="false" outlineLevel="0" max="29" min="29" style="0" width="12"/>
    <col collapsed="false" customWidth="true" hidden="false" outlineLevel="0" max="31" min="30" style="0" width="14"/>
    <col collapsed="false" customWidth="true" hidden="false" outlineLevel="0" max="32" min="32" style="0" width="13"/>
    <col collapsed="false" customWidth="true" hidden="false" outlineLevel="0" max="33" min="33" style="0" width="15"/>
    <col collapsed="false" customWidth="true" hidden="false" outlineLevel="0" max="34" min="34" style="0" width="12"/>
    <col collapsed="false" customWidth="true" hidden="false" outlineLevel="0" max="35" min="35" style="0" width="13"/>
    <col collapsed="false" customWidth="true" hidden="false" outlineLevel="0" max="36" min="36" style="0" width="18"/>
    <col collapsed="false" customWidth="true" hidden="false" outlineLevel="0" max="37" min="37" style="0" width="13"/>
    <col collapsed="false" customWidth="true" hidden="false" outlineLevel="0" max="38" min="38" style="0" width="11"/>
  </cols>
  <sheetData>
    <row r="1" customFormat="false" ht="27.75" hidden="false" customHeight="true" outlineLevel="0" collapsed="false">
      <c r="A1" s="10" t="s">
        <v>73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customFormat="false" ht="15" hidden="false" customHeight="false" outlineLevel="0" collapsed="false">
      <c r="A2" s="11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5" customFormat="false" ht="15" hidden="false" customHeight="false" outlineLevel="0" collapsed="false">
      <c r="I5" s="21" t="s">
        <v>75</v>
      </c>
      <c r="Q5" s="21" t="s">
        <v>76</v>
      </c>
      <c r="Z5" s="21" t="s">
        <v>77</v>
      </c>
      <c r="AH5" s="21" t="s">
        <v>78</v>
      </c>
    </row>
    <row r="6" customFormat="false" ht="30" hidden="false" customHeight="true" outlineLevel="0" collapsed="false">
      <c r="A6" s="12" t="s">
        <v>34</v>
      </c>
      <c r="B6" s="12" t="s">
        <v>79</v>
      </c>
      <c r="C6" s="12" t="s">
        <v>80</v>
      </c>
      <c r="D6" s="12" t="s">
        <v>81</v>
      </c>
      <c r="E6" s="12" t="s">
        <v>82</v>
      </c>
      <c r="F6" s="12" t="s">
        <v>83</v>
      </c>
      <c r="G6" s="12" t="s">
        <v>84</v>
      </c>
      <c r="H6" s="12" t="s">
        <v>85</v>
      </c>
      <c r="I6" s="12" t="s">
        <v>86</v>
      </c>
      <c r="J6" s="12" t="s">
        <v>87</v>
      </c>
      <c r="K6" s="12" t="s">
        <v>88</v>
      </c>
      <c r="L6" s="12" t="s">
        <v>48</v>
      </c>
      <c r="M6" s="12" t="s">
        <v>50</v>
      </c>
      <c r="N6" s="12" t="s">
        <v>52</v>
      </c>
      <c r="O6" s="12" t="s">
        <v>54</v>
      </c>
      <c r="P6" s="12" t="s">
        <v>25</v>
      </c>
      <c r="Q6" s="12" t="s">
        <v>89</v>
      </c>
      <c r="R6" s="12" t="s">
        <v>90</v>
      </c>
      <c r="S6" s="12" t="s">
        <v>58</v>
      </c>
      <c r="T6" s="12" t="s">
        <v>60</v>
      </c>
      <c r="U6" s="12" t="s">
        <v>91</v>
      </c>
      <c r="V6" s="12" t="s">
        <v>62</v>
      </c>
      <c r="W6" s="12" t="s">
        <v>92</v>
      </c>
      <c r="X6" s="12" t="s">
        <v>93</v>
      </c>
      <c r="Y6" s="12" t="s">
        <v>94</v>
      </c>
      <c r="Z6" s="12" t="s">
        <v>95</v>
      </c>
      <c r="AA6" s="12" t="s">
        <v>96</v>
      </c>
      <c r="AB6" s="12" t="s">
        <v>97</v>
      </c>
      <c r="AC6" s="12" t="s">
        <v>98</v>
      </c>
      <c r="AD6" s="12" t="s">
        <v>99</v>
      </c>
      <c r="AE6" s="12" t="s">
        <v>26</v>
      </c>
      <c r="AF6" s="12" t="s">
        <v>27</v>
      </c>
      <c r="AG6" s="12" t="s">
        <v>100</v>
      </c>
      <c r="AH6" s="12" t="s">
        <v>101</v>
      </c>
      <c r="AI6" s="12" t="s">
        <v>102</v>
      </c>
      <c r="AJ6" s="12" t="s">
        <v>103</v>
      </c>
      <c r="AK6" s="12" t="s">
        <v>30</v>
      </c>
      <c r="AL6" s="12" t="s">
        <v>104</v>
      </c>
    </row>
    <row r="7" customFormat="false" ht="23.85" hidden="false" customHeight="false" outlineLevel="0" collapsed="false">
      <c r="A7" s="22" t="n">
        <v>1</v>
      </c>
      <c r="B7" s="22" t="s">
        <v>105</v>
      </c>
      <c r="C7" s="22" t="s">
        <v>106</v>
      </c>
      <c r="D7" s="22" t="s">
        <v>11</v>
      </c>
      <c r="E7" s="22" t="s">
        <v>107</v>
      </c>
      <c r="F7" s="22" t="s">
        <v>108</v>
      </c>
      <c r="G7" s="22" t="s">
        <v>109</v>
      </c>
      <c r="H7" s="22" t="s">
        <v>110</v>
      </c>
      <c r="I7" s="23" t="n">
        <v>480</v>
      </c>
      <c r="J7" s="23" t="n">
        <v>15</v>
      </c>
      <c r="K7" s="23" t="n">
        <v>0</v>
      </c>
      <c r="L7" s="23" t="n">
        <v>125</v>
      </c>
      <c r="M7" s="23" t="n">
        <v>0</v>
      </c>
      <c r="N7" s="23" t="n">
        <v>0</v>
      </c>
      <c r="O7" s="23" t="n">
        <v>24</v>
      </c>
      <c r="P7" s="23" t="n">
        <f aca="false">I7+J7+K7-L7-M7-N7+O7</f>
        <v>394</v>
      </c>
      <c r="Q7" s="23" t="n">
        <f aca="false">I7-L7-M7</f>
        <v>355</v>
      </c>
      <c r="R7" s="23" t="n">
        <v>0.18</v>
      </c>
      <c r="S7" s="23" t="n">
        <f aca="false">Q7*R7</f>
        <v>63.9</v>
      </c>
      <c r="T7" s="23" t="n">
        <v>9.6</v>
      </c>
      <c r="U7" s="23" t="n">
        <f aca="false">S7+T7</f>
        <v>73.5</v>
      </c>
      <c r="V7" s="23" t="n">
        <f aca="false">U7*0.18</f>
        <v>13.23</v>
      </c>
      <c r="W7" s="23" t="n">
        <f aca="false">P7*0.01</f>
        <v>3.94</v>
      </c>
      <c r="X7" s="23" t="n">
        <f aca="false">(I7+J7+K7)*0.01</f>
        <v>4.95</v>
      </c>
      <c r="Y7" s="23" t="n">
        <f aca="false">V7+W7+X7</f>
        <v>22.12</v>
      </c>
      <c r="Z7" s="23" t="n">
        <v>0</v>
      </c>
      <c r="AA7" s="23" t="n">
        <v>0</v>
      </c>
      <c r="AB7" s="23" t="n">
        <v>0</v>
      </c>
      <c r="AC7" s="23" t="n">
        <v>0</v>
      </c>
      <c r="AD7" s="23" t="n">
        <v>0</v>
      </c>
      <c r="AE7" s="23" t="n">
        <f aca="false">U7+V7+W7+X7+AD7</f>
        <v>95.62</v>
      </c>
      <c r="AF7" s="23" t="n">
        <f aca="false">AA7+AB7</f>
        <v>0</v>
      </c>
      <c r="AG7" s="23" t="n">
        <f aca="false">P7-AE7+AF7-Z7-AC7</f>
        <v>298.38</v>
      </c>
      <c r="AH7" s="22" t="s">
        <v>111</v>
      </c>
      <c r="AI7" s="22" t="s">
        <v>112</v>
      </c>
      <c r="AJ7" s="22" t="s">
        <v>113</v>
      </c>
      <c r="AK7" s="23" t="n">
        <f aca="false">IF(AH7="Pending",AG7,0)</f>
        <v>0</v>
      </c>
      <c r="AL7" s="22" t="s">
        <v>114</v>
      </c>
    </row>
    <row r="8" customFormat="false" ht="23.85" hidden="false" customHeight="false" outlineLevel="0" collapsed="false">
      <c r="A8" s="24" t="n">
        <v>2</v>
      </c>
      <c r="B8" s="24" t="s">
        <v>115</v>
      </c>
      <c r="C8" s="24" t="s">
        <v>106</v>
      </c>
      <c r="D8" s="24" t="s">
        <v>11</v>
      </c>
      <c r="E8" s="24" t="s">
        <v>116</v>
      </c>
      <c r="F8" s="24" t="s">
        <v>117</v>
      </c>
      <c r="G8" s="24" t="s">
        <v>109</v>
      </c>
      <c r="H8" s="24" t="s">
        <v>110</v>
      </c>
      <c r="I8" s="25" t="n">
        <v>640</v>
      </c>
      <c r="J8" s="25" t="n">
        <v>20</v>
      </c>
      <c r="K8" s="25" t="n">
        <v>30</v>
      </c>
      <c r="L8" s="25" t="n">
        <v>0</v>
      </c>
      <c r="M8" s="25" t="n">
        <v>160</v>
      </c>
      <c r="N8" s="25" t="n">
        <v>0</v>
      </c>
      <c r="O8" s="25" t="n">
        <v>32</v>
      </c>
      <c r="P8" s="25" t="n">
        <f aca="false">I8+J8+K8-L8-M8-N8+O8</f>
        <v>562</v>
      </c>
      <c r="Q8" s="25" t="n">
        <f aca="false">I8-L8-M8</f>
        <v>480</v>
      </c>
      <c r="R8" s="25" t="n">
        <v>0.18</v>
      </c>
      <c r="S8" s="25" t="n">
        <f aca="false">Q8*R8</f>
        <v>86.4</v>
      </c>
      <c r="T8" s="25" t="n">
        <v>0</v>
      </c>
      <c r="U8" s="25" t="n">
        <f aca="false">S8+T8</f>
        <v>86.4</v>
      </c>
      <c r="V8" s="25" t="n">
        <f aca="false">U8*0.18</f>
        <v>15.552</v>
      </c>
      <c r="W8" s="25" t="n">
        <f aca="false">P8*0.01</f>
        <v>5.62</v>
      </c>
      <c r="X8" s="25" t="n">
        <f aca="false">(I8+J8+K8)*0.01</f>
        <v>6.9</v>
      </c>
      <c r="Y8" s="25" t="n">
        <f aca="false">V8+W8+X8</f>
        <v>28.072</v>
      </c>
      <c r="Z8" s="25" t="n">
        <v>0</v>
      </c>
      <c r="AA8" s="25" t="n">
        <v>0</v>
      </c>
      <c r="AB8" s="25" t="n">
        <v>0</v>
      </c>
      <c r="AC8" s="25" t="n">
        <v>0</v>
      </c>
      <c r="AD8" s="25" t="n">
        <v>0</v>
      </c>
      <c r="AE8" s="25" t="n">
        <f aca="false">U8+V8+W8+X8+AD8</f>
        <v>114.472</v>
      </c>
      <c r="AF8" s="25" t="n">
        <f aca="false">AA8+AB8</f>
        <v>0</v>
      </c>
      <c r="AG8" s="25" t="n">
        <f aca="false">P8-AE8+AF8-Z8-AC8</f>
        <v>447.528</v>
      </c>
      <c r="AH8" s="24" t="s">
        <v>111</v>
      </c>
      <c r="AI8" s="24" t="s">
        <v>112</v>
      </c>
      <c r="AJ8" s="24" t="s">
        <v>113</v>
      </c>
      <c r="AK8" s="25" t="n">
        <f aca="false">IF(AH8="Pending",AG8,0)</f>
        <v>0</v>
      </c>
      <c r="AL8" s="24" t="s">
        <v>118</v>
      </c>
    </row>
    <row r="9" customFormat="false" ht="23.85" hidden="false" customHeight="false" outlineLevel="0" collapsed="false">
      <c r="A9" s="22" t="n">
        <v>3</v>
      </c>
      <c r="B9" s="22" t="s">
        <v>119</v>
      </c>
      <c r="C9" s="22" t="s">
        <v>120</v>
      </c>
      <c r="D9" s="22" t="s">
        <v>11</v>
      </c>
      <c r="E9" s="22" t="s">
        <v>121</v>
      </c>
      <c r="F9" s="22" t="s">
        <v>122</v>
      </c>
      <c r="G9" s="22" t="s">
        <v>109</v>
      </c>
      <c r="H9" s="22" t="s">
        <v>110</v>
      </c>
      <c r="I9" s="23" t="n">
        <v>900</v>
      </c>
      <c r="J9" s="23" t="n">
        <v>25</v>
      </c>
      <c r="K9" s="23" t="n">
        <v>0</v>
      </c>
      <c r="L9" s="23" t="n">
        <v>300</v>
      </c>
      <c r="M9" s="23" t="n">
        <v>0</v>
      </c>
      <c r="N9" s="23" t="n">
        <v>0</v>
      </c>
      <c r="O9" s="23" t="n">
        <v>45</v>
      </c>
      <c r="P9" s="23" t="n">
        <f aca="false">I9+J9+K9-L9-M9-N9+O9</f>
        <v>670</v>
      </c>
      <c r="Q9" s="23" t="n">
        <f aca="false">I9-L9-M9</f>
        <v>600</v>
      </c>
      <c r="R9" s="23" t="n">
        <v>0.2</v>
      </c>
      <c r="S9" s="23" t="n">
        <f aca="false">Q9*R9</f>
        <v>120</v>
      </c>
      <c r="T9" s="23" t="n">
        <v>18</v>
      </c>
      <c r="U9" s="23" t="n">
        <f aca="false">S9+T9</f>
        <v>138</v>
      </c>
      <c r="V9" s="23" t="n">
        <f aca="false">U9*0.18</f>
        <v>24.84</v>
      </c>
      <c r="W9" s="23" t="n">
        <f aca="false">P9*0.01</f>
        <v>6.7</v>
      </c>
      <c r="X9" s="23" t="n">
        <f aca="false">(I9+J9+K9)*0.01</f>
        <v>9.25</v>
      </c>
      <c r="Y9" s="23" t="n">
        <f aca="false">V9+W9+X9</f>
        <v>40.79</v>
      </c>
      <c r="Z9" s="23" t="n">
        <v>0</v>
      </c>
      <c r="AA9" s="23" t="n">
        <v>0</v>
      </c>
      <c r="AB9" s="23" t="n">
        <v>0</v>
      </c>
      <c r="AC9" s="23" t="n">
        <v>0</v>
      </c>
      <c r="AD9" s="23" t="n">
        <v>0</v>
      </c>
      <c r="AE9" s="23" t="n">
        <f aca="false">U9+V9+W9+X9+AD9</f>
        <v>178.79</v>
      </c>
      <c r="AF9" s="23" t="n">
        <f aca="false">AA9+AB9</f>
        <v>0</v>
      </c>
      <c r="AG9" s="23" t="n">
        <f aca="false">P9-AE9+AF9-Z9-AC9</f>
        <v>491.21</v>
      </c>
      <c r="AH9" s="22" t="s">
        <v>111</v>
      </c>
      <c r="AI9" s="22" t="s">
        <v>112</v>
      </c>
      <c r="AJ9" s="22" t="s">
        <v>113</v>
      </c>
      <c r="AK9" s="23" t="n">
        <f aca="false">IF(AH9="Pending",AG9,0)</f>
        <v>0</v>
      </c>
      <c r="AL9" s="22" t="s">
        <v>123</v>
      </c>
    </row>
    <row r="10" customFormat="false" ht="23.85" hidden="false" customHeight="false" outlineLevel="0" collapsed="false">
      <c r="A10" s="24" t="n">
        <v>4</v>
      </c>
      <c r="B10" s="24" t="s">
        <v>124</v>
      </c>
      <c r="C10" s="24" t="s">
        <v>125</v>
      </c>
      <c r="D10" s="24" t="s">
        <v>11</v>
      </c>
      <c r="E10" s="24" t="s">
        <v>126</v>
      </c>
      <c r="F10" s="24" t="s">
        <v>108</v>
      </c>
      <c r="G10" s="24" t="s">
        <v>109</v>
      </c>
      <c r="H10" s="24" t="s">
        <v>127</v>
      </c>
      <c r="I10" s="25" t="n">
        <v>350</v>
      </c>
      <c r="J10" s="25" t="n">
        <v>0</v>
      </c>
      <c r="K10" s="25" t="n">
        <v>0</v>
      </c>
      <c r="L10" s="25" t="n">
        <v>0</v>
      </c>
      <c r="M10" s="25" t="n">
        <v>0</v>
      </c>
      <c r="N10" s="25" t="n">
        <v>0</v>
      </c>
      <c r="O10" s="25" t="n">
        <v>17.5</v>
      </c>
      <c r="P10" s="25" t="n">
        <f aca="false">I10+J10+K10-L10-M10-N10+O10</f>
        <v>367.5</v>
      </c>
      <c r="Q10" s="25" t="n">
        <f aca="false">I10-L10-M10</f>
        <v>350</v>
      </c>
      <c r="R10" s="25" t="n">
        <v>0.15</v>
      </c>
      <c r="S10" s="25" t="n">
        <f aca="false">Q10*R10</f>
        <v>52.5</v>
      </c>
      <c r="T10" s="25" t="n">
        <v>7</v>
      </c>
      <c r="U10" s="25" t="n">
        <f aca="false">S10+T10</f>
        <v>59.5</v>
      </c>
      <c r="V10" s="25" t="n">
        <f aca="false">U10*0.18</f>
        <v>10.71</v>
      </c>
      <c r="W10" s="25" t="n">
        <f aca="false">P10*0.01</f>
        <v>3.675</v>
      </c>
      <c r="X10" s="25" t="n">
        <f aca="false">(I10+J10+K10)*0.01</f>
        <v>3.5</v>
      </c>
      <c r="Y10" s="25" t="n">
        <f aca="false">V10+W10+X10</f>
        <v>17.885</v>
      </c>
      <c r="Z10" s="25" t="n">
        <v>0</v>
      </c>
      <c r="AA10" s="25" t="n">
        <v>0</v>
      </c>
      <c r="AB10" s="25" t="n">
        <v>0</v>
      </c>
      <c r="AC10" s="25" t="n">
        <v>0</v>
      </c>
      <c r="AD10" s="25" t="n">
        <v>0</v>
      </c>
      <c r="AE10" s="25" t="n">
        <f aca="false">U10+V10+W10+X10+AD10</f>
        <v>77.385</v>
      </c>
      <c r="AF10" s="25" t="n">
        <f aca="false">AA10+AB10</f>
        <v>0</v>
      </c>
      <c r="AG10" s="25" t="n">
        <f aca="false">P10-AE10+AF10-Z10-AC10</f>
        <v>290.115</v>
      </c>
      <c r="AH10" s="24" t="s">
        <v>111</v>
      </c>
      <c r="AI10" s="24" t="s">
        <v>112</v>
      </c>
      <c r="AJ10" s="24" t="s">
        <v>113</v>
      </c>
      <c r="AK10" s="25" t="n">
        <f aca="false">IF(AH10="Pending",AG10,0)</f>
        <v>0</v>
      </c>
      <c r="AL10" s="24" t="s">
        <v>128</v>
      </c>
    </row>
    <row r="11" customFormat="false" ht="23.85" hidden="false" customHeight="false" outlineLevel="0" collapsed="false">
      <c r="A11" s="22" t="n">
        <v>5</v>
      </c>
      <c r="B11" s="22" t="s">
        <v>129</v>
      </c>
      <c r="C11" s="22" t="s">
        <v>130</v>
      </c>
      <c r="D11" s="22" t="s">
        <v>11</v>
      </c>
      <c r="E11" s="22" t="s">
        <v>131</v>
      </c>
      <c r="F11" s="22" t="s">
        <v>122</v>
      </c>
      <c r="G11" s="22" t="s">
        <v>109</v>
      </c>
      <c r="H11" s="22" t="s">
        <v>110</v>
      </c>
      <c r="I11" s="23" t="n">
        <v>560</v>
      </c>
      <c r="J11" s="23" t="n">
        <v>15</v>
      </c>
      <c r="K11" s="23" t="n">
        <v>20</v>
      </c>
      <c r="L11" s="23" t="n">
        <v>84</v>
      </c>
      <c r="M11" s="23" t="n">
        <v>0</v>
      </c>
      <c r="N11" s="23" t="n">
        <v>0</v>
      </c>
      <c r="O11" s="23" t="n">
        <v>28</v>
      </c>
      <c r="P11" s="23" t="n">
        <f aca="false">I11+J11+K11-L11-M11-N11+O11</f>
        <v>539</v>
      </c>
      <c r="Q11" s="23" t="n">
        <f aca="false">I11-L11-M11</f>
        <v>476</v>
      </c>
      <c r="R11" s="23" t="n">
        <v>0.18</v>
      </c>
      <c r="S11" s="23" t="n">
        <f aca="false">Q11*R11</f>
        <v>85.68</v>
      </c>
      <c r="T11" s="23" t="n">
        <v>11.2</v>
      </c>
      <c r="U11" s="23" t="n">
        <f aca="false">S11+T11</f>
        <v>96.88</v>
      </c>
      <c r="V11" s="23" t="n">
        <f aca="false">U11*0.18</f>
        <v>17.4384</v>
      </c>
      <c r="W11" s="23" t="n">
        <f aca="false">P11*0.01</f>
        <v>5.39</v>
      </c>
      <c r="X11" s="23" t="n">
        <f aca="false">(I11+J11+K11)*0.01</f>
        <v>5.95</v>
      </c>
      <c r="Y11" s="23" t="n">
        <f aca="false">V11+W11+X11</f>
        <v>28.7784</v>
      </c>
      <c r="Z11" s="23" t="n">
        <v>0</v>
      </c>
      <c r="AA11" s="23" t="n">
        <v>0</v>
      </c>
      <c r="AB11" s="23" t="n">
        <v>0</v>
      </c>
      <c r="AC11" s="23" t="n">
        <v>0</v>
      </c>
      <c r="AD11" s="23" t="n">
        <v>0</v>
      </c>
      <c r="AE11" s="23" t="n">
        <f aca="false">U11+V11+W11+X11+AD11</f>
        <v>125.6584</v>
      </c>
      <c r="AF11" s="23" t="n">
        <f aca="false">AA11+AB11</f>
        <v>0</v>
      </c>
      <c r="AG11" s="23" t="n">
        <f aca="false">P11-AE11+AF11-Z11-AC11</f>
        <v>413.3416</v>
      </c>
      <c r="AH11" s="22" t="s">
        <v>111</v>
      </c>
      <c r="AI11" s="22" t="s">
        <v>112</v>
      </c>
      <c r="AJ11" s="22" t="s">
        <v>113</v>
      </c>
      <c r="AK11" s="23" t="n">
        <f aca="false">IF(AH11="Pending",AG11,0)</f>
        <v>0</v>
      </c>
      <c r="AL11" s="22" t="s">
        <v>132</v>
      </c>
    </row>
    <row r="12" customFormat="false" ht="23.85" hidden="false" customHeight="false" outlineLevel="0" collapsed="false">
      <c r="A12" s="24" t="n">
        <v>6</v>
      </c>
      <c r="B12" s="24" t="s">
        <v>133</v>
      </c>
      <c r="C12" s="24" t="s">
        <v>134</v>
      </c>
      <c r="D12" s="24" t="s">
        <v>11</v>
      </c>
      <c r="E12" s="24" t="s">
        <v>135</v>
      </c>
      <c r="F12" s="24" t="s">
        <v>117</v>
      </c>
      <c r="G12" s="24" t="s">
        <v>109</v>
      </c>
      <c r="H12" s="24" t="s">
        <v>110</v>
      </c>
      <c r="I12" s="25" t="n">
        <v>720</v>
      </c>
      <c r="J12" s="25" t="n">
        <v>20</v>
      </c>
      <c r="K12" s="25" t="n">
        <v>0</v>
      </c>
      <c r="L12" s="25" t="n">
        <v>0</v>
      </c>
      <c r="M12" s="25" t="n">
        <v>60</v>
      </c>
      <c r="N12" s="25" t="n">
        <v>0</v>
      </c>
      <c r="O12" s="25" t="n">
        <v>36</v>
      </c>
      <c r="P12" s="25" t="n">
        <f aca="false">I12+J12+K12-L12-M12-N12+O12</f>
        <v>716</v>
      </c>
      <c r="Q12" s="25" t="n">
        <f aca="false">I12-L12-M12</f>
        <v>660</v>
      </c>
      <c r="R12" s="25" t="n">
        <v>0.18</v>
      </c>
      <c r="S12" s="25" t="n">
        <f aca="false">Q12*R12</f>
        <v>118.8</v>
      </c>
      <c r="T12" s="25" t="n">
        <v>0</v>
      </c>
      <c r="U12" s="25" t="n">
        <f aca="false">S12+T12</f>
        <v>118.8</v>
      </c>
      <c r="V12" s="25" t="n">
        <f aca="false">U12*0.18</f>
        <v>21.384</v>
      </c>
      <c r="W12" s="25" t="n">
        <f aca="false">P12*0.01</f>
        <v>7.16</v>
      </c>
      <c r="X12" s="25" t="n">
        <f aca="false">(I12+J12+K12)*0.01</f>
        <v>7.4</v>
      </c>
      <c r="Y12" s="25" t="n">
        <f aca="false">V12+W12+X12</f>
        <v>35.944</v>
      </c>
      <c r="Z12" s="25" t="n">
        <v>0</v>
      </c>
      <c r="AA12" s="25" t="n">
        <v>0</v>
      </c>
      <c r="AB12" s="25" t="n">
        <v>0</v>
      </c>
      <c r="AC12" s="25" t="n">
        <v>0</v>
      </c>
      <c r="AD12" s="25" t="n">
        <v>0</v>
      </c>
      <c r="AE12" s="25" t="n">
        <f aca="false">U12+V12+W12+X12+AD12</f>
        <v>154.744</v>
      </c>
      <c r="AF12" s="25" t="n">
        <f aca="false">AA12+AB12</f>
        <v>0</v>
      </c>
      <c r="AG12" s="25" t="n">
        <f aca="false">P12-AE12+AF12-Z12-AC12</f>
        <v>561.256</v>
      </c>
      <c r="AH12" s="24" t="s">
        <v>136</v>
      </c>
      <c r="AI12" s="24"/>
      <c r="AJ12" s="24"/>
      <c r="AK12" s="25" t="n">
        <f aca="false">IF(AH12="Pending",AG12,0)</f>
        <v>561.256</v>
      </c>
      <c r="AL12" s="24" t="s">
        <v>137</v>
      </c>
    </row>
    <row r="13" customFormat="false" ht="23.85" hidden="false" customHeight="false" outlineLevel="0" collapsed="false">
      <c r="A13" s="22" t="n">
        <v>7</v>
      </c>
      <c r="B13" s="22" t="s">
        <v>138</v>
      </c>
      <c r="C13" s="22" t="s">
        <v>139</v>
      </c>
      <c r="D13" s="22" t="s">
        <v>11</v>
      </c>
      <c r="E13" s="22" t="s">
        <v>140</v>
      </c>
      <c r="F13" s="22" t="s">
        <v>108</v>
      </c>
      <c r="G13" s="22" t="s">
        <v>141</v>
      </c>
      <c r="H13" s="22" t="s">
        <v>110</v>
      </c>
      <c r="I13" s="23" t="n">
        <v>300</v>
      </c>
      <c r="J13" s="23" t="n">
        <v>10</v>
      </c>
      <c r="K13" s="23" t="n">
        <v>0</v>
      </c>
      <c r="L13" s="23" t="n">
        <v>50</v>
      </c>
      <c r="M13" s="23" t="n">
        <v>0</v>
      </c>
      <c r="N13" s="23" t="n">
        <v>0</v>
      </c>
      <c r="O13" s="23" t="n">
        <v>15</v>
      </c>
      <c r="P13" s="23" t="n">
        <f aca="false">I13+J13+K13-L13-M13-N13+O13</f>
        <v>275</v>
      </c>
      <c r="Q13" s="23" t="n">
        <f aca="false">I13-L13-M13</f>
        <v>250</v>
      </c>
      <c r="R13" s="23" t="n">
        <v>0.18</v>
      </c>
      <c r="S13" s="23" t="n">
        <f aca="false">Q13*R13</f>
        <v>45</v>
      </c>
      <c r="T13" s="23" t="n">
        <v>6</v>
      </c>
      <c r="U13" s="23" t="n">
        <f aca="false">S13+T13</f>
        <v>51</v>
      </c>
      <c r="V13" s="23" t="n">
        <f aca="false">U13*0.18</f>
        <v>9.18</v>
      </c>
      <c r="W13" s="23" t="n">
        <f aca="false">P13*0.01</f>
        <v>2.75</v>
      </c>
      <c r="X13" s="23" t="n">
        <f aca="false">(I13+J13+K13)*0.01</f>
        <v>3.1</v>
      </c>
      <c r="Y13" s="23" t="n">
        <f aca="false">V13+W13+X13</f>
        <v>15.03</v>
      </c>
      <c r="Z13" s="23" t="n">
        <v>80</v>
      </c>
      <c r="AA13" s="23" t="n">
        <v>40</v>
      </c>
      <c r="AB13" s="23" t="n">
        <v>0</v>
      </c>
      <c r="AC13" s="23" t="n">
        <v>0</v>
      </c>
      <c r="AD13" s="23" t="n">
        <v>0</v>
      </c>
      <c r="AE13" s="23" t="n">
        <f aca="false">U13+V13+W13+X13+AD13</f>
        <v>66.03</v>
      </c>
      <c r="AF13" s="23" t="n">
        <f aca="false">AA13+AB13</f>
        <v>40</v>
      </c>
      <c r="AG13" s="23" t="n">
        <f aca="false">P13-AE13+AF13-Z13-AC13</f>
        <v>168.97</v>
      </c>
      <c r="AH13" s="22" t="s">
        <v>136</v>
      </c>
      <c r="AI13" s="22"/>
      <c r="AJ13" s="22"/>
      <c r="AK13" s="23" t="n">
        <f aca="false">IF(AH13="Pending",AG13,0)</f>
        <v>168.97</v>
      </c>
      <c r="AL13" s="22" t="s">
        <v>142</v>
      </c>
    </row>
    <row r="14" customFormat="false" ht="23.85" hidden="false" customHeight="false" outlineLevel="0" collapsed="false">
      <c r="A14" s="24" t="n">
        <v>8</v>
      </c>
      <c r="B14" s="24" t="s">
        <v>143</v>
      </c>
      <c r="C14" s="24" t="s">
        <v>144</v>
      </c>
      <c r="D14" s="24" t="s">
        <v>11</v>
      </c>
      <c r="E14" s="24" t="s">
        <v>145</v>
      </c>
      <c r="F14" s="24" t="s">
        <v>122</v>
      </c>
      <c r="G14" s="24" t="s">
        <v>109</v>
      </c>
      <c r="H14" s="24" t="s">
        <v>110</v>
      </c>
      <c r="I14" s="25" t="n">
        <v>1050</v>
      </c>
      <c r="J14" s="25" t="n">
        <v>30</v>
      </c>
      <c r="K14" s="25" t="n">
        <v>0</v>
      </c>
      <c r="L14" s="25" t="n">
        <v>175</v>
      </c>
      <c r="M14" s="25" t="n">
        <v>0</v>
      </c>
      <c r="N14" s="25" t="n">
        <v>0</v>
      </c>
      <c r="O14" s="25" t="n">
        <v>52.5</v>
      </c>
      <c r="P14" s="25" t="n">
        <f aca="false">I14+J14+K14-L14-M14-N14+O14</f>
        <v>957.5</v>
      </c>
      <c r="Q14" s="25" t="n">
        <f aca="false">I14-L14-M14</f>
        <v>875</v>
      </c>
      <c r="R14" s="25" t="n">
        <v>0.2</v>
      </c>
      <c r="S14" s="25" t="n">
        <f aca="false">Q14*R14</f>
        <v>175</v>
      </c>
      <c r="T14" s="25" t="n">
        <v>21</v>
      </c>
      <c r="U14" s="25" t="n">
        <f aca="false">S14+T14</f>
        <v>196</v>
      </c>
      <c r="V14" s="25" t="n">
        <f aca="false">U14*0.18</f>
        <v>35.28</v>
      </c>
      <c r="W14" s="25" t="n">
        <f aca="false">P14*0.01</f>
        <v>9.575</v>
      </c>
      <c r="X14" s="25" t="n">
        <f aca="false">(I14+J14+K14)*0.01</f>
        <v>10.8</v>
      </c>
      <c r="Y14" s="25" t="n">
        <f aca="false">V14+W14+X14</f>
        <v>55.655</v>
      </c>
      <c r="Z14" s="25" t="n">
        <v>0</v>
      </c>
      <c r="AA14" s="25" t="n">
        <v>0</v>
      </c>
      <c r="AB14" s="25" t="n">
        <v>0</v>
      </c>
      <c r="AC14" s="25" t="n">
        <v>150</v>
      </c>
      <c r="AD14" s="25" t="n">
        <v>0</v>
      </c>
      <c r="AE14" s="25" t="n">
        <f aca="false">U14+V14+W14+X14+AD14</f>
        <v>251.655</v>
      </c>
      <c r="AF14" s="25" t="n">
        <f aca="false">AA14+AB14</f>
        <v>0</v>
      </c>
      <c r="AG14" s="25" t="n">
        <f aca="false">P14-AE14+AF14-Z14-AC14</f>
        <v>555.845</v>
      </c>
      <c r="AH14" s="24" t="s">
        <v>136</v>
      </c>
      <c r="AI14" s="24"/>
      <c r="AJ14" s="24"/>
      <c r="AK14" s="25" t="n">
        <f aca="false">IF(AH14="Pending",AG14,0)</f>
        <v>555.845</v>
      </c>
      <c r="AL14" s="24" t="s">
        <v>146</v>
      </c>
    </row>
  </sheetData>
  <autoFilter ref="A6:AL14"/>
  <mergeCells count="2">
    <mergeCell ref="A1:AL1"/>
    <mergeCell ref="A2:A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8" min="6" style="0" width="14"/>
  </cols>
  <sheetData>
    <row r="1" customFormat="false" ht="27.75" hidden="false" customHeight="true" outlineLevel="0" collapsed="false">
      <c r="A1" s="10" t="s">
        <v>147</v>
      </c>
      <c r="B1" s="10"/>
      <c r="C1" s="10"/>
      <c r="D1" s="10"/>
      <c r="E1" s="10"/>
      <c r="F1" s="10"/>
      <c r="G1" s="10"/>
      <c r="H1" s="10"/>
    </row>
    <row r="2" customFormat="false" ht="15" hidden="false" customHeight="false" outlineLevel="0" collapsed="false">
      <c r="A2" s="11" t="s">
        <v>148</v>
      </c>
      <c r="B2" s="11"/>
      <c r="C2" s="11"/>
      <c r="D2" s="11"/>
      <c r="E2" s="11"/>
      <c r="F2" s="11"/>
      <c r="G2" s="11"/>
      <c r="H2" s="11"/>
    </row>
    <row r="4" customFormat="false" ht="30" hidden="false" customHeight="true" outlineLevel="0" collapsed="false">
      <c r="A4" s="12" t="s">
        <v>149</v>
      </c>
      <c r="B4" s="12" t="s">
        <v>150</v>
      </c>
      <c r="C4" s="12" t="s">
        <v>151</v>
      </c>
      <c r="D4" s="12" t="s">
        <v>152</v>
      </c>
      <c r="E4" s="12" t="s">
        <v>101</v>
      </c>
      <c r="F4" s="12" t="s">
        <v>153</v>
      </c>
      <c r="G4" s="12" t="s">
        <v>154</v>
      </c>
      <c r="H4" s="12" t="s">
        <v>155</v>
      </c>
    </row>
    <row r="5" customFormat="false" ht="15" hidden="false" customHeight="false" outlineLevel="0" collapsed="false">
      <c r="A5" s="22" t="s">
        <v>156</v>
      </c>
      <c r="B5" s="22" t="s">
        <v>157</v>
      </c>
      <c r="C5" s="22" t="s">
        <v>158</v>
      </c>
      <c r="D5" s="22" t="s">
        <v>159</v>
      </c>
      <c r="E5" s="22" t="s">
        <v>111</v>
      </c>
      <c r="F5" s="23" t="n">
        <v>2941.21</v>
      </c>
      <c r="G5" s="23" t="n">
        <v>2941.21</v>
      </c>
      <c r="H5" s="23" t="n">
        <v>0</v>
      </c>
    </row>
    <row r="6" customFormat="false" ht="15" hidden="false" customHeight="false" outlineLevel="0" collapsed="false">
      <c r="A6" s="24" t="s">
        <v>160</v>
      </c>
      <c r="B6" s="24" t="s">
        <v>161</v>
      </c>
      <c r="C6" s="24" t="s">
        <v>138</v>
      </c>
      <c r="D6" s="24" t="s">
        <v>139</v>
      </c>
      <c r="E6" s="24" t="s">
        <v>136</v>
      </c>
      <c r="F6" s="25" t="n">
        <v>40</v>
      </c>
      <c r="G6" s="25" t="n">
        <v>0</v>
      </c>
      <c r="H6" s="25" t="n">
        <v>40</v>
      </c>
    </row>
    <row r="7" customFormat="false" ht="23.85" hidden="false" customHeight="false" outlineLevel="0" collapsed="false">
      <c r="A7" s="22" t="s">
        <v>162</v>
      </c>
      <c r="B7" s="22" t="s">
        <v>163</v>
      </c>
      <c r="C7" s="22" t="s">
        <v>138</v>
      </c>
      <c r="D7" s="22" t="s">
        <v>139</v>
      </c>
      <c r="E7" s="22" t="s">
        <v>136</v>
      </c>
      <c r="F7" s="23" t="n">
        <v>80</v>
      </c>
      <c r="G7" s="23" t="n">
        <v>0</v>
      </c>
      <c r="H7" s="23" t="n">
        <v>80</v>
      </c>
    </row>
    <row r="8" customFormat="false" ht="15" hidden="false" customHeight="false" outlineLevel="0" collapsed="false">
      <c r="A8" s="24" t="s">
        <v>164</v>
      </c>
      <c r="B8" s="24" t="s">
        <v>165</v>
      </c>
      <c r="C8" s="24" t="s">
        <v>138</v>
      </c>
      <c r="D8" s="24" t="s">
        <v>139</v>
      </c>
      <c r="E8" s="24" t="s">
        <v>136</v>
      </c>
      <c r="F8" s="25" t="n">
        <v>40</v>
      </c>
      <c r="G8" s="25" t="n">
        <v>40</v>
      </c>
      <c r="H8" s="25" t="n">
        <v>0</v>
      </c>
    </row>
    <row r="9" customFormat="false" ht="15" hidden="false" customHeight="false" outlineLevel="0" collapsed="false">
      <c r="A9" s="22" t="s">
        <v>166</v>
      </c>
      <c r="B9" s="22" t="s">
        <v>167</v>
      </c>
      <c r="C9" s="22" t="s">
        <v>168</v>
      </c>
      <c r="D9" s="22" t="s">
        <v>144</v>
      </c>
      <c r="E9" s="22" t="s">
        <v>111</v>
      </c>
      <c r="F9" s="23" t="n">
        <v>0</v>
      </c>
      <c r="G9" s="23" t="n">
        <v>0</v>
      </c>
      <c r="H9" s="23" t="n">
        <v>0</v>
      </c>
    </row>
  </sheetData>
  <autoFilter ref="A4:H9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6" min="3" style="0" width="16"/>
  </cols>
  <sheetData>
    <row r="1" customFormat="false" ht="27.75" hidden="false" customHeight="true" outlineLevel="0" collapsed="false">
      <c r="A1" s="10" t="s">
        <v>169</v>
      </c>
      <c r="B1" s="10"/>
      <c r="C1" s="10"/>
      <c r="D1" s="10"/>
      <c r="E1" s="10"/>
      <c r="F1" s="10"/>
    </row>
    <row r="2" customFormat="false" ht="15" hidden="false" customHeight="false" outlineLevel="0" collapsed="false">
      <c r="A2" s="11" t="s">
        <v>170</v>
      </c>
      <c r="B2" s="11"/>
      <c r="C2" s="11"/>
      <c r="D2" s="11"/>
      <c r="E2" s="11"/>
      <c r="F2" s="11"/>
    </row>
    <row r="4" customFormat="false" ht="23.85" hidden="false" customHeight="false" outlineLevel="0" collapsed="false">
      <c r="A4" s="12" t="s">
        <v>171</v>
      </c>
      <c r="B4" s="12" t="s">
        <v>172</v>
      </c>
      <c r="C4" s="12" t="s">
        <v>173</v>
      </c>
      <c r="D4" s="12" t="s">
        <v>174</v>
      </c>
      <c r="E4" s="12" t="s">
        <v>175</v>
      </c>
      <c r="F4" s="12" t="s">
        <v>176</v>
      </c>
    </row>
    <row r="5" customFormat="false" ht="15" hidden="false" customHeight="false" outlineLevel="0" collapsed="false">
      <c r="A5" s="13" t="s">
        <v>107</v>
      </c>
      <c r="B5" s="13" t="n">
        <f aca="false">COUNTIF('Order Level'!E7:E14,"Flat ₹125 off")</f>
        <v>1</v>
      </c>
      <c r="C5" s="17" t="n">
        <f aca="false">SUMIF('Order Level'!E7:E14,"Flat ₹125 off",'Order Level'!I7:I14)</f>
        <v>480</v>
      </c>
      <c r="D5" s="17" t="n">
        <f aca="false">SUMIF('Order Level'!E7:E14,"Flat ₹125 off",'Order Level'!L7:L14)+SUMIF('Order Level'!E7:E14,"Flat ₹125 off",'Order Level'!M7:M14)</f>
        <v>125</v>
      </c>
      <c r="E5" s="17" t="n">
        <f aca="false">IF(B5=0,0,D5/B5)</f>
        <v>125</v>
      </c>
      <c r="F5" s="26" t="n">
        <f aca="false">IF(C5=0,0,D5/C5)</f>
        <v>0.260416666666667</v>
      </c>
    </row>
    <row r="6" customFormat="false" ht="15" hidden="false" customHeight="false" outlineLevel="0" collapsed="false">
      <c r="A6" s="13" t="s">
        <v>116</v>
      </c>
      <c r="B6" s="13" t="n">
        <f aca="false">COUNTIF('Order Level'!E7:E14,"BOGO")</f>
        <v>1</v>
      </c>
      <c r="C6" s="17" t="n">
        <f aca="false">SUMIF('Order Level'!E7:E14,"BOGO",'Order Level'!I7:I14)</f>
        <v>640</v>
      </c>
      <c r="D6" s="17" t="n">
        <f aca="false">SUMIF('Order Level'!E7:E14,"BOGO",'Order Level'!L7:L14)+SUMIF('Order Level'!E7:E14,"BOGO",'Order Level'!M7:M14)</f>
        <v>160</v>
      </c>
      <c r="E6" s="17" t="n">
        <f aca="false">IF(B6=0,0,D6/B6)</f>
        <v>160</v>
      </c>
      <c r="F6" s="26" t="n">
        <f aca="false">IF(C6=0,0,D6/C6)</f>
        <v>0.25</v>
      </c>
    </row>
    <row r="7" customFormat="false" ht="15" hidden="false" customHeight="false" outlineLevel="0" collapsed="false">
      <c r="A7" s="13" t="s">
        <v>121</v>
      </c>
      <c r="B7" s="13" t="n">
        <f aca="false">COUNTIF('Order Level'!E7:E14,"50% off upto ₹300")</f>
        <v>1</v>
      </c>
      <c r="C7" s="17" t="n">
        <f aca="false">SUMIF('Order Level'!E7:E14,"50% off upto ₹300",'Order Level'!I7:I14)</f>
        <v>900</v>
      </c>
      <c r="D7" s="17" t="n">
        <f aca="false">SUMIF('Order Level'!E7:E14,"50% off upto ₹300",'Order Level'!L7:L14)+SUMIF('Order Level'!E7:E14,"50% off upto ₹300",'Order Level'!M7:M14)</f>
        <v>300</v>
      </c>
      <c r="E7" s="17" t="n">
        <f aca="false">IF(B7=0,0,D7/B7)</f>
        <v>300</v>
      </c>
      <c r="F7" s="26" t="n">
        <f aca="false">IF(C7=0,0,D7/C7)</f>
        <v>0.333333333333333</v>
      </c>
    </row>
    <row r="8" customFormat="false" ht="15" hidden="false" customHeight="false" outlineLevel="0" collapsed="false">
      <c r="A8" s="13" t="s">
        <v>131</v>
      </c>
      <c r="B8" s="13" t="n">
        <f aca="false">COUNTIF('Order Level'!E7:E14,"Happy Hour")</f>
        <v>1</v>
      </c>
      <c r="C8" s="17" t="n">
        <f aca="false">SUMIF('Order Level'!E7:E14,"Happy Hour",'Order Level'!I7:I14)</f>
        <v>560</v>
      </c>
      <c r="D8" s="17" t="n">
        <f aca="false">SUMIF('Order Level'!E7:E14,"Happy Hour",'Order Level'!L7:L14)+SUMIF('Order Level'!E7:E14,"Happy Hour",'Order Level'!M7:M14)</f>
        <v>84</v>
      </c>
      <c r="E8" s="17" t="n">
        <f aca="false">IF(B8=0,0,D8/B8)</f>
        <v>84</v>
      </c>
      <c r="F8" s="26" t="n">
        <f aca="false">IF(C8=0,0,D8/C8)</f>
        <v>0.15</v>
      </c>
    </row>
    <row r="9" customFormat="false" ht="15" hidden="false" customHeight="false" outlineLevel="0" collapsed="false">
      <c r="A9" s="13" t="s">
        <v>135</v>
      </c>
      <c r="B9" s="13" t="n">
        <f aca="false">COUNTIF('Order Level'!E7:E14,"Freebie")</f>
        <v>1</v>
      </c>
      <c r="C9" s="17" t="n">
        <f aca="false">SUMIF('Order Level'!E7:E14,"Freebie",'Order Level'!I7:I14)</f>
        <v>720</v>
      </c>
      <c r="D9" s="17" t="n">
        <f aca="false">SUMIF('Order Level'!E7:E14,"Freebie",'Order Level'!L7:L14)+SUMIF('Order Level'!E7:E14,"Freebie",'Order Level'!M7:M14)</f>
        <v>60</v>
      </c>
      <c r="E9" s="17" t="n">
        <f aca="false">IF(B9=0,0,D9/B9)</f>
        <v>60</v>
      </c>
      <c r="F9" s="26" t="n">
        <f aca="false">IF(C9=0,0,D9/C9)</f>
        <v>0.0833333333333333</v>
      </c>
    </row>
    <row r="10" customFormat="false" ht="15" hidden="false" customHeight="false" outlineLevel="0" collapsed="false">
      <c r="A10" s="13" t="s">
        <v>140</v>
      </c>
      <c r="B10" s="13" t="n">
        <f aca="false">COUNTIF('Order Level'!E7:E14,"Signup bonus")</f>
        <v>1</v>
      </c>
      <c r="C10" s="17" t="n">
        <f aca="false">SUMIF('Order Level'!E7:E14,"Signup bonus",'Order Level'!I7:I14)</f>
        <v>300</v>
      </c>
      <c r="D10" s="17" t="n">
        <f aca="false">SUMIF('Order Level'!E7:E14,"Signup bonus",'Order Level'!L7:L14)+SUMIF('Order Level'!E7:E14,"Signup bonus",'Order Level'!M7:M14)</f>
        <v>50</v>
      </c>
      <c r="E10" s="17" t="n">
        <f aca="false">IF(B10=0,0,D10/B10)</f>
        <v>50</v>
      </c>
      <c r="F10" s="26" t="n">
        <f aca="false">IF(C10=0,0,D10/C10)</f>
        <v>0.166666666666667</v>
      </c>
    </row>
    <row r="11" customFormat="false" ht="15" hidden="false" customHeight="false" outlineLevel="0" collapsed="false">
      <c r="A11" s="13" t="s">
        <v>145</v>
      </c>
      <c r="B11" s="13" t="n">
        <f aca="false">COUNTIF('Order Level'!E7:E14,"Flat ₹175 off")</f>
        <v>1</v>
      </c>
      <c r="C11" s="17" t="n">
        <f aca="false">SUMIF('Order Level'!E7:E14,"Flat ₹175 off",'Order Level'!I7:I14)</f>
        <v>1050</v>
      </c>
      <c r="D11" s="17" t="n">
        <f aca="false">SUMIF('Order Level'!E7:E14,"Flat ₹175 off",'Order Level'!L7:L14)+SUMIF('Order Level'!E7:E14,"Flat ₹175 off",'Order Level'!M7:M14)</f>
        <v>175</v>
      </c>
      <c r="E11" s="17" t="n">
        <f aca="false">IF(B11=0,0,D11/B11)</f>
        <v>175</v>
      </c>
      <c r="F11" s="26" t="n">
        <f aca="false">IF(C11=0,0,D11/C11)</f>
        <v>0.166666666666667</v>
      </c>
    </row>
    <row r="12" customFormat="false" ht="15" hidden="false" customHeight="false" outlineLevel="0" collapsed="false">
      <c r="A12" s="13" t="s">
        <v>126</v>
      </c>
      <c r="B12" s="13" t="n">
        <f aca="false">COUNTIF('Order Level'!E7:E14,"None")</f>
        <v>1</v>
      </c>
      <c r="C12" s="17" t="n">
        <f aca="false">SUMIF('Order Level'!E7:E14,"None",'Order Level'!I7:I14)</f>
        <v>350</v>
      </c>
      <c r="D12" s="17" t="n">
        <f aca="false">SUMIF('Order Level'!E7:E14,"None",'Order Level'!L7:L14)+SUMIF('Order Level'!E7:E14,"None",'Order Level'!M7:M14)</f>
        <v>0</v>
      </c>
      <c r="E12" s="17" t="n">
        <f aca="false">IF(B12=0,0,D12/B12)</f>
        <v>0</v>
      </c>
      <c r="F12" s="26" t="n">
        <f aca="false">IF(C12=0,0,D12/C12)</f>
        <v>0</v>
      </c>
    </row>
    <row r="13" customFormat="false" ht="15" hidden="false" customHeight="false" outlineLevel="0" collapsed="false">
      <c r="A13" s="14" t="s">
        <v>177</v>
      </c>
      <c r="B13" s="14" t="n">
        <f aca="false">SUM(B5:B12)</f>
        <v>8</v>
      </c>
      <c r="C13" s="20" t="n">
        <f aca="false">SUM(C5:C12)</f>
        <v>5000</v>
      </c>
      <c r="D13" s="20" t="n">
        <f aca="false">SUM(D5:D12)</f>
        <v>954</v>
      </c>
      <c r="E13" s="27"/>
      <c r="F13" s="28" t="n">
        <f aca="false">IF(C13=0,0,D13/C13)</f>
        <v>0.1908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10" t="s">
        <v>178</v>
      </c>
      <c r="B1" s="10"/>
      <c r="C1" s="10"/>
      <c r="D1" s="10"/>
    </row>
    <row r="2" customFormat="false" ht="15" hidden="false" customHeight="false" outlineLevel="0" collapsed="false">
      <c r="A2" s="11" t="s">
        <v>179</v>
      </c>
      <c r="B2" s="11"/>
      <c r="C2" s="11"/>
      <c r="D2" s="11"/>
    </row>
    <row r="4" customFormat="false" ht="30" hidden="false" customHeight="true" outlineLevel="0" collapsed="false">
      <c r="A4" s="12" t="s">
        <v>180</v>
      </c>
      <c r="B4" s="12" t="s">
        <v>181</v>
      </c>
      <c r="C4" s="12" t="s">
        <v>182</v>
      </c>
      <c r="D4" s="12" t="s">
        <v>183</v>
      </c>
    </row>
    <row r="5" customFormat="false" ht="15" hidden="false" customHeight="false" outlineLevel="0" collapsed="false">
      <c r="A5" s="22" t="s">
        <v>184</v>
      </c>
      <c r="B5" s="22" t="s">
        <v>185</v>
      </c>
      <c r="C5" s="22" t="s">
        <v>186</v>
      </c>
      <c r="D5" s="23" t="n">
        <f aca="false">SUM('Order Level'!O7:O14)</f>
        <v>250</v>
      </c>
    </row>
    <row r="6" customFormat="false" ht="15" hidden="false" customHeight="false" outlineLevel="0" collapsed="false">
      <c r="A6" s="24" t="s">
        <v>58</v>
      </c>
      <c r="B6" s="24" t="s">
        <v>89</v>
      </c>
      <c r="C6" s="24" t="s">
        <v>187</v>
      </c>
      <c r="D6" s="25" t="n">
        <f aca="false">SUM('Order Level'!S7:S14)</f>
        <v>747.28</v>
      </c>
    </row>
    <row r="7" customFormat="false" ht="15" hidden="false" customHeight="false" outlineLevel="0" collapsed="false">
      <c r="A7" s="22" t="s">
        <v>60</v>
      </c>
      <c r="B7" s="22" t="s">
        <v>188</v>
      </c>
      <c r="C7" s="22" t="s">
        <v>189</v>
      </c>
      <c r="D7" s="23" t="n">
        <f aca="false">SUM('Order Level'!T7:T14)</f>
        <v>72.8</v>
      </c>
    </row>
    <row r="8" customFormat="false" ht="15" hidden="false" customHeight="false" outlineLevel="0" collapsed="false">
      <c r="A8" s="24" t="s">
        <v>190</v>
      </c>
      <c r="B8" s="24" t="s">
        <v>191</v>
      </c>
      <c r="C8" s="24" t="s">
        <v>192</v>
      </c>
      <c r="D8" s="25" t="n">
        <f aca="false">SUM('Order Level'!V7:V14)</f>
        <v>147.6144</v>
      </c>
    </row>
    <row r="9" customFormat="false" ht="15" hidden="false" customHeight="false" outlineLevel="0" collapsed="false">
      <c r="A9" s="22" t="s">
        <v>193</v>
      </c>
      <c r="B9" s="22" t="s">
        <v>188</v>
      </c>
      <c r="C9" s="22" t="s">
        <v>194</v>
      </c>
      <c r="D9" s="23" t="n">
        <f aca="false">SUM('Order Level'!W7:W14)</f>
        <v>44.81</v>
      </c>
    </row>
    <row r="10" customFormat="false" ht="15" hidden="false" customHeight="false" outlineLevel="0" collapsed="false">
      <c r="A10" s="24" t="s">
        <v>195</v>
      </c>
      <c r="B10" s="24" t="s">
        <v>196</v>
      </c>
      <c r="C10" s="24" t="s">
        <v>194</v>
      </c>
      <c r="D10" s="25" t="n">
        <f aca="false">SUM('Order Level'!X7:X14)</f>
        <v>51.85</v>
      </c>
    </row>
    <row r="11" customFormat="false" ht="15" hidden="false" customHeight="false" outlineLevel="0" collapsed="false">
      <c r="A11" s="22" t="s">
        <v>197</v>
      </c>
      <c r="B11" s="22" t="s">
        <v>198</v>
      </c>
      <c r="C11" s="22" t="s">
        <v>168</v>
      </c>
      <c r="D11" s="23" t="n">
        <f aca="false">SUM('Order Level'!Y7:Y14)</f>
        <v>244.2744</v>
      </c>
    </row>
    <row r="14" customFormat="false" ht="43.5" hidden="false" customHeight="true" outlineLevel="0" collapsed="false">
      <c r="A14" s="9" t="s">
        <v>199</v>
      </c>
      <c r="B14" s="9"/>
      <c r="C14" s="9"/>
      <c r="D14" s="9"/>
    </row>
  </sheetData>
  <autoFilter ref="A4:D11"/>
  <mergeCells count="3">
    <mergeCell ref="A1:D1"/>
    <mergeCell ref="A2:D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80"/>
  </cols>
  <sheetData>
    <row r="1" customFormat="false" ht="27.75" hidden="false" customHeight="true" outlineLevel="0" collapsed="false">
      <c r="A1" s="10" t="s">
        <v>200</v>
      </c>
      <c r="B1" s="10"/>
      <c r="C1" s="10"/>
    </row>
    <row r="2" customFormat="false" ht="15" hidden="false" customHeight="false" outlineLevel="0" collapsed="false">
      <c r="A2" s="11" t="s">
        <v>201</v>
      </c>
      <c r="B2" s="11"/>
      <c r="C2" s="11"/>
    </row>
    <row r="4" customFormat="false" ht="30" hidden="false" customHeight="true" outlineLevel="0" collapsed="false">
      <c r="A4" s="12" t="s">
        <v>34</v>
      </c>
      <c r="B4" s="12" t="s">
        <v>202</v>
      </c>
      <c r="C4" s="12" t="s">
        <v>203</v>
      </c>
    </row>
    <row r="5" customFormat="false" ht="15" hidden="false" customHeight="false" outlineLevel="0" collapsed="false">
      <c r="A5" s="22" t="s">
        <v>41</v>
      </c>
      <c r="B5" s="22" t="s">
        <v>42</v>
      </c>
      <c r="C5" s="22" t="s">
        <v>204</v>
      </c>
    </row>
    <row r="6" customFormat="false" ht="15" hidden="false" customHeight="false" outlineLevel="0" collapsed="false">
      <c r="A6" s="24" t="s">
        <v>43</v>
      </c>
      <c r="B6" s="24" t="s">
        <v>44</v>
      </c>
      <c r="C6" s="24" t="s">
        <v>205</v>
      </c>
    </row>
    <row r="7" customFormat="false" ht="15" hidden="false" customHeight="false" outlineLevel="0" collapsed="false">
      <c r="A7" s="22" t="s">
        <v>45</v>
      </c>
      <c r="B7" s="22" t="s">
        <v>46</v>
      </c>
      <c r="C7" s="22" t="s">
        <v>206</v>
      </c>
    </row>
    <row r="8" customFormat="false" ht="15" hidden="false" customHeight="false" outlineLevel="0" collapsed="false">
      <c r="A8" s="24" t="s">
        <v>47</v>
      </c>
      <c r="B8" s="24" t="s">
        <v>48</v>
      </c>
      <c r="C8" s="24" t="s">
        <v>207</v>
      </c>
    </row>
    <row r="9" customFormat="false" ht="23.85" hidden="false" customHeight="false" outlineLevel="0" collapsed="false">
      <c r="A9" s="22" t="s">
        <v>49</v>
      </c>
      <c r="B9" s="22" t="s">
        <v>50</v>
      </c>
      <c r="C9" s="22" t="s">
        <v>208</v>
      </c>
    </row>
    <row r="10" customFormat="false" ht="15" hidden="false" customHeight="false" outlineLevel="0" collapsed="false">
      <c r="A10" s="24" t="s">
        <v>51</v>
      </c>
      <c r="B10" s="24" t="s">
        <v>52</v>
      </c>
      <c r="C10" s="24" t="s">
        <v>209</v>
      </c>
    </row>
    <row r="11" customFormat="false" ht="15" hidden="false" customHeight="false" outlineLevel="0" collapsed="false">
      <c r="A11" s="22" t="s">
        <v>53</v>
      </c>
      <c r="B11" s="22" t="s">
        <v>54</v>
      </c>
      <c r="C11" s="22" t="s">
        <v>210</v>
      </c>
    </row>
    <row r="12" customFormat="false" ht="15" hidden="false" customHeight="false" outlineLevel="0" collapsed="false">
      <c r="A12" s="24" t="s">
        <v>40</v>
      </c>
      <c r="B12" s="24" t="s">
        <v>188</v>
      </c>
      <c r="C12" s="24" t="s">
        <v>211</v>
      </c>
    </row>
    <row r="13" customFormat="false" ht="15" hidden="false" customHeight="false" outlineLevel="0" collapsed="false">
      <c r="A13" s="22" t="s">
        <v>168</v>
      </c>
      <c r="B13" s="22" t="s">
        <v>89</v>
      </c>
      <c r="C13" s="22" t="s">
        <v>212</v>
      </c>
    </row>
    <row r="14" customFormat="false" ht="15" hidden="false" customHeight="false" outlineLevel="0" collapsed="false">
      <c r="A14" s="24" t="s">
        <v>57</v>
      </c>
      <c r="B14" s="24" t="s">
        <v>58</v>
      </c>
      <c r="C14" s="24" t="s">
        <v>213</v>
      </c>
    </row>
    <row r="15" customFormat="false" ht="15" hidden="false" customHeight="false" outlineLevel="0" collapsed="false">
      <c r="A15" s="22" t="s">
        <v>59</v>
      </c>
      <c r="B15" s="22" t="s">
        <v>60</v>
      </c>
      <c r="C15" s="22" t="s">
        <v>214</v>
      </c>
    </row>
    <row r="16" customFormat="false" ht="15" hidden="false" customHeight="false" outlineLevel="0" collapsed="false">
      <c r="A16" s="24" t="s">
        <v>61</v>
      </c>
      <c r="B16" s="24" t="s">
        <v>215</v>
      </c>
      <c r="C16" s="24" t="s">
        <v>216</v>
      </c>
    </row>
    <row r="17" customFormat="false" ht="15" hidden="false" customHeight="false" outlineLevel="0" collapsed="false">
      <c r="A17" s="22" t="s">
        <v>63</v>
      </c>
      <c r="B17" s="22" t="s">
        <v>217</v>
      </c>
      <c r="C17" s="22" t="s">
        <v>218</v>
      </c>
    </row>
    <row r="18" customFormat="false" ht="15" hidden="false" customHeight="false" outlineLevel="0" collapsed="false">
      <c r="A18" s="24" t="s">
        <v>168</v>
      </c>
      <c r="B18" s="24" t="s">
        <v>219</v>
      </c>
      <c r="C18" s="24" t="s">
        <v>220</v>
      </c>
    </row>
    <row r="19" customFormat="false" ht="15" hidden="false" customHeight="false" outlineLevel="0" collapsed="false">
      <c r="A19" s="22" t="s">
        <v>65</v>
      </c>
      <c r="B19" s="22" t="s">
        <v>221</v>
      </c>
      <c r="C19" s="22" t="s">
        <v>222</v>
      </c>
    </row>
    <row r="20" customFormat="false" ht="15" hidden="false" customHeight="false" outlineLevel="0" collapsed="false">
      <c r="A20" s="24" t="s">
        <v>67</v>
      </c>
      <c r="B20" s="24" t="s">
        <v>223</v>
      </c>
      <c r="C20" s="24" t="s">
        <v>224</v>
      </c>
    </row>
    <row r="21" customFormat="false" ht="15" hidden="false" customHeight="false" outlineLevel="0" collapsed="false">
      <c r="A21" s="22" t="s">
        <v>71</v>
      </c>
      <c r="B21" s="22" t="s">
        <v>225</v>
      </c>
      <c r="C21" s="22" t="s">
        <v>226</v>
      </c>
    </row>
    <row r="22" customFormat="false" ht="15" hidden="false" customHeight="false" outlineLevel="0" collapsed="false">
      <c r="A22" s="24" t="s">
        <v>168</v>
      </c>
      <c r="B22" s="24" t="s">
        <v>101</v>
      </c>
      <c r="C22" s="24" t="s">
        <v>227</v>
      </c>
    </row>
    <row r="23" customFormat="false" ht="15" hidden="false" customHeight="false" outlineLevel="0" collapsed="false">
      <c r="A23" s="22" t="s">
        <v>168</v>
      </c>
      <c r="B23" s="22" t="s">
        <v>103</v>
      </c>
      <c r="C23" s="22" t="s">
        <v>228</v>
      </c>
    </row>
    <row r="24" customFormat="false" ht="15" hidden="false" customHeight="false" outlineLevel="0" collapsed="false">
      <c r="A24" s="24" t="s">
        <v>168</v>
      </c>
      <c r="B24" s="24" t="s">
        <v>82</v>
      </c>
      <c r="C24" s="24" t="s">
        <v>229</v>
      </c>
    </row>
  </sheetData>
  <autoFilter ref="A4:C24"/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32"/>
  </cols>
  <sheetData>
    <row r="1" customFormat="false" ht="27.75" hidden="false" customHeight="true" outlineLevel="0" collapsed="false">
      <c r="A1" s="10" t="s">
        <v>230</v>
      </c>
      <c r="B1" s="10"/>
      <c r="C1" s="10"/>
      <c r="D1" s="10"/>
    </row>
    <row r="2" customFormat="false" ht="15" hidden="false" customHeight="false" outlineLevel="0" collapsed="false">
      <c r="A2" s="11" t="s">
        <v>231</v>
      </c>
      <c r="B2" s="11"/>
      <c r="C2" s="11"/>
      <c r="D2" s="11"/>
    </row>
    <row r="4" customFormat="false" ht="30" hidden="false" customHeight="true" outlineLevel="0" collapsed="false">
      <c r="A4" s="12" t="s">
        <v>232</v>
      </c>
      <c r="B4" s="12" t="s">
        <v>233</v>
      </c>
      <c r="C4" s="12" t="s">
        <v>234</v>
      </c>
      <c r="D4" s="12" t="s">
        <v>235</v>
      </c>
    </row>
    <row r="5" customFormat="false" ht="23.85" hidden="false" customHeight="false" outlineLevel="0" collapsed="false">
      <c r="A5" s="22" t="s">
        <v>41</v>
      </c>
      <c r="B5" s="22" t="s">
        <v>236</v>
      </c>
      <c r="C5" s="22" t="s">
        <v>237</v>
      </c>
      <c r="D5" s="22" t="s">
        <v>238</v>
      </c>
    </row>
    <row r="6" customFormat="false" ht="23.85" hidden="false" customHeight="false" outlineLevel="0" collapsed="false">
      <c r="A6" s="24" t="s">
        <v>43</v>
      </c>
      <c r="B6" s="24" t="s">
        <v>239</v>
      </c>
      <c r="C6" s="24" t="s">
        <v>240</v>
      </c>
      <c r="D6" s="24" t="s">
        <v>241</v>
      </c>
    </row>
    <row r="7" customFormat="false" ht="15" hidden="false" customHeight="false" outlineLevel="0" collapsed="false">
      <c r="A7" s="22" t="s">
        <v>45</v>
      </c>
      <c r="B7" s="22" t="s">
        <v>242</v>
      </c>
      <c r="C7" s="22" t="s">
        <v>243</v>
      </c>
      <c r="D7" s="22" t="s">
        <v>244</v>
      </c>
    </row>
    <row r="8" customFormat="false" ht="23.85" hidden="false" customHeight="false" outlineLevel="0" collapsed="false">
      <c r="A8" s="24" t="s">
        <v>47</v>
      </c>
      <c r="B8" s="24" t="s">
        <v>245</v>
      </c>
      <c r="C8" s="24" t="s">
        <v>246</v>
      </c>
      <c r="D8" s="24" t="s">
        <v>247</v>
      </c>
    </row>
    <row r="9" customFormat="false" ht="15" hidden="false" customHeight="false" outlineLevel="0" collapsed="false">
      <c r="A9" s="22" t="s">
        <v>49</v>
      </c>
      <c r="B9" s="22" t="s">
        <v>248</v>
      </c>
      <c r="C9" s="22" t="s">
        <v>249</v>
      </c>
      <c r="D9" s="22" t="s">
        <v>250</v>
      </c>
    </row>
    <row r="10" customFormat="false" ht="15" hidden="false" customHeight="false" outlineLevel="0" collapsed="false">
      <c r="A10" s="24" t="s">
        <v>51</v>
      </c>
      <c r="B10" s="24" t="s">
        <v>251</v>
      </c>
      <c r="C10" s="24" t="s">
        <v>252</v>
      </c>
      <c r="D10" s="24" t="s">
        <v>253</v>
      </c>
    </row>
    <row r="11" customFormat="false" ht="23.85" hidden="false" customHeight="false" outlineLevel="0" collapsed="false">
      <c r="A11" s="22" t="s">
        <v>53</v>
      </c>
      <c r="B11" s="22" t="s">
        <v>254</v>
      </c>
      <c r="C11" s="22" t="s">
        <v>255</v>
      </c>
      <c r="D11" s="22" t="s">
        <v>256</v>
      </c>
    </row>
    <row r="12" customFormat="false" ht="23.85" hidden="false" customHeight="false" outlineLevel="0" collapsed="false">
      <c r="A12" s="24" t="s">
        <v>57</v>
      </c>
      <c r="B12" s="24" t="s">
        <v>257</v>
      </c>
      <c r="C12" s="24" t="s">
        <v>258</v>
      </c>
      <c r="D12" s="24" t="s">
        <v>259</v>
      </c>
    </row>
    <row r="13" customFormat="false" ht="23.85" hidden="false" customHeight="false" outlineLevel="0" collapsed="false">
      <c r="A13" s="22" t="s">
        <v>59</v>
      </c>
      <c r="B13" s="22" t="s">
        <v>260</v>
      </c>
      <c r="C13" s="22" t="s">
        <v>261</v>
      </c>
      <c r="D13" s="22" t="s">
        <v>262</v>
      </c>
    </row>
    <row r="14" customFormat="false" ht="15" hidden="false" customHeight="false" outlineLevel="0" collapsed="false">
      <c r="A14" s="24" t="s">
        <v>61</v>
      </c>
      <c r="B14" s="24" t="s">
        <v>263</v>
      </c>
      <c r="C14" s="24" t="s">
        <v>264</v>
      </c>
      <c r="D14" s="24" t="s">
        <v>265</v>
      </c>
    </row>
    <row r="15" customFormat="false" ht="15" hidden="false" customHeight="false" outlineLevel="0" collapsed="false">
      <c r="A15" s="22" t="s">
        <v>63</v>
      </c>
      <c r="B15" s="22" t="s">
        <v>266</v>
      </c>
      <c r="C15" s="22" t="s">
        <v>267</v>
      </c>
      <c r="D15" s="22" t="s">
        <v>268</v>
      </c>
    </row>
    <row r="16" customFormat="false" ht="15" hidden="false" customHeight="false" outlineLevel="0" collapsed="false">
      <c r="A16" s="24" t="s">
        <v>269</v>
      </c>
      <c r="B16" s="24" t="s">
        <v>270</v>
      </c>
      <c r="C16" s="24" t="s">
        <v>271</v>
      </c>
      <c r="D16" s="24" t="s">
        <v>272</v>
      </c>
    </row>
    <row r="17" customFormat="false" ht="15" hidden="false" customHeight="false" outlineLevel="0" collapsed="false">
      <c r="A17" s="22" t="s">
        <v>273</v>
      </c>
      <c r="B17" s="22" t="s">
        <v>274</v>
      </c>
      <c r="C17" s="22" t="s">
        <v>275</v>
      </c>
      <c r="D17" s="22" t="s">
        <v>276</v>
      </c>
    </row>
    <row r="18" customFormat="false" ht="23.85" hidden="false" customHeight="false" outlineLevel="0" collapsed="false">
      <c r="A18" s="24" t="s">
        <v>277</v>
      </c>
      <c r="B18" s="24" t="s">
        <v>278</v>
      </c>
      <c r="C18" s="24" t="s">
        <v>279</v>
      </c>
      <c r="D18" s="24" t="s">
        <v>280</v>
      </c>
    </row>
    <row r="19" customFormat="false" ht="23.85" hidden="false" customHeight="false" outlineLevel="0" collapsed="false">
      <c r="A19" s="22" t="s">
        <v>281</v>
      </c>
      <c r="B19" s="22" t="s">
        <v>282</v>
      </c>
      <c r="C19" s="22" t="s">
        <v>283</v>
      </c>
      <c r="D19" s="22" t="s">
        <v>284</v>
      </c>
    </row>
  </sheetData>
  <autoFilter ref="A4:D19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2026-05-26T22:24:36Z</dcterms:created>
  <dc:creator>openpyxl</dc:creator>
  <dc:description/>
  <dc:language>en-US</dc:language>
  <cp:lastModifiedBy/>
  <dcterms:modified xsi:type="dcterms:W3CDTF">2026-05-26T22:24:36Z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