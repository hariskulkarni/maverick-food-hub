
<file path=[Content_Types].xml><?xml version="1.0" encoding="utf-8"?>
<Types xmlns="http://schemas.openxmlformats.org/package/2006/content-types">
  <Default Extension="fntdata" ContentType="application/x-fontdata"/>
  <Default Extension="jpeg" ContentType="image/jpeg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11.xml" ContentType="application/vnd.openxmlformats-officedocument.spreadsheetml.worksheet+xml"/>
  <Override PartName="/xl/worksheets/sheet6.xml" ContentType="application/vnd.openxmlformats-officedocument.spreadsheetml.worksheet+xml"/>
  <Override PartName="/xl/worksheets/sheet5.xml" ContentType="application/vnd.openxmlformats-officedocument.spreadsheetml.worksheet+xml"/>
  <Override PartName="/xl/worksheets/sheet14.xml" ContentType="application/vnd.openxmlformats-officedocument.spreadsheetml.worksheet+xml"/>
  <Override PartName="/xl/worksheets/sheet13.xml" ContentType="application/vnd.openxmlformats-officedocument.spreadsheetml.worksheet+xml"/>
  <Override PartName="/xl/worksheets/sheet21.xml" ContentType="application/vnd.openxmlformats-officedocument.spreadsheetml.worksheet+xml"/>
  <Override PartName="/xl/worksheets/sheet19.xml" ContentType="application/vnd.openxmlformats-officedocument.spreadsheetml.worksheet+xml"/>
  <Override PartName="/xl/worksheets/sheet2.xml" ContentType="application/vnd.openxmlformats-officedocument.spreadsheetml.worksheet+xml"/>
  <Override PartName="/xl/worksheets/sheet18.xml" ContentType="application/vnd.openxmlformats-officedocument.spreadsheetml.worksheet+xml"/>
  <Override PartName="/xl/worksheets/sheet9.xml" ContentType="application/vnd.openxmlformats-officedocument.spreadsheetml.worksheet+xml"/>
  <Override PartName="/xl/worksheets/sheet17.xml" ContentType="application/vnd.openxmlformats-officedocument.spreadsheetml.worksheet+xml"/>
  <Override PartName="/xl/worksheets/sheet10.xml" ContentType="application/vnd.openxmlformats-officedocument.spreadsheetml.worksheet+xml"/>
  <Override PartName="/xl/worksheets/sheet16.xml" ContentType="application/vnd.openxmlformats-officedocument.spreadsheetml.worksheet+xml"/>
  <Override PartName="/xl/worksheets/sheet8.xml" ContentType="application/vnd.openxmlformats-officedocument.spreadsheetml.worksheet+xml"/>
  <Override PartName="/xl/worksheets/sheet20.xml" ContentType="application/vnd.openxmlformats-officedocument.spreadsheetml.worksheet+xml"/>
  <Override PartName="/xl/worksheets/sheet15.xml" ContentType="application/vnd.openxmlformats-officedocument.spreadsheetml.worksheet+xml"/>
  <Override PartName="/xl/worksheets/sheet1.xml" ContentType="application/vnd.openxmlformats-officedocument.spreadsheetml.worksheet+xml"/>
  <Override PartName="/xl/worksheets/sheet3.xml" ContentType="application/vnd.openxmlformats-officedocument.spreadsheetml.worksheet+xml"/>
  <Override PartName="/xl/worksheets/sheet12.xml" ContentType="application/vnd.openxmlformats-officedocument.spreadsheetml.worksheet+xml"/>
  <Override PartName="/xl/worksheets/sheet4.xml" ContentType="application/vnd.openxmlformats-officedocument.spreadsheetml.worksheet+xml"/>
  <Override PartName="/xl/worksheets/sheet7.xml" ContentType="application/vnd.openxmlformats-officedocument.spreadsheetml.worksheet+xml"/>
  <Override PartName="/xl/sharedStrings.xml" ContentType="application/vnd.openxmlformats-officedocument.spreadsheetml.sharedStrings+xml"/>
  <Override PartName="/xl/drawings/drawing4.xml" ContentType="application/vnd.openxmlformats-officedocument.drawing+xml"/>
  <Override PartName="/xl/drawings/drawing20.xml" ContentType="application/vnd.openxmlformats-officedocument.drawing+xml"/>
  <Override PartName="/xl/drawings/drawing12.xml" ContentType="application/vnd.openxmlformats-officedocument.drawing+xml"/>
  <Override PartName="/xl/drawings/drawing3.xml" ContentType="application/vnd.openxmlformats-officedocument.drawing+xml"/>
  <Override PartName="/xl/drawings/drawing19.xml" ContentType="application/vnd.openxmlformats-officedocument.drawing+xml"/>
  <Override PartName="/xl/drawings/drawing14.xml" ContentType="application/vnd.openxmlformats-officedocument.drawing+xml"/>
  <Override PartName="/xl/drawings/drawing9.xml" ContentType="application/vnd.openxmlformats-officedocument.drawing+xml"/>
  <Override PartName="/xl/drawings/drawing5.xml" ContentType="application/vnd.openxmlformats-officedocument.drawing+xml"/>
  <Override PartName="/xl/drawings/drawing11.xml" ContentType="application/vnd.openxmlformats-officedocument.drawing+xml"/>
  <Override PartName="/xl/drawings/drawing8.xml" ContentType="application/vnd.openxmlformats-officedocument.drawing+xml"/>
  <Override PartName="/xl/drawings/drawing10.xml" ContentType="application/vnd.openxmlformats-officedocument.drawing+xml"/>
  <Override PartName="/xl/drawings/drawing15.xml" ContentType="application/vnd.openxmlformats-officedocument.drawing+xml"/>
  <Override PartName="/xl/drawings/drawing13.xml" ContentType="application/vnd.openxmlformats-officedocument.drawing+xml"/>
  <Override PartName="/xl/drawings/drawing17.xml" ContentType="application/vnd.openxmlformats-officedocument.drawing+xml"/>
  <Override PartName="/xl/drawings/drawing6.xml" ContentType="application/vnd.openxmlformats-officedocument.drawing+xml"/>
  <Override PartName="/xl/drawings/drawing16.xml" ContentType="application/vnd.openxmlformats-officedocument.drawing+xml"/>
  <Override PartName="/xl/drawings/drawing1.xml" ContentType="application/vnd.openxmlformats-officedocument.drawing+xml"/>
  <Override PartName="/xl/drawings/drawing18.xml" ContentType="application/vnd.openxmlformats-officedocument.drawing+xml"/>
  <Override PartName="/xl/drawings/drawing7.xml" ContentType="application/vnd.openxmlformats-officedocument.drawing+xml"/>
  <Override PartName="/xl/drawings/drawing2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>
  <fileVersion appName="Calc" lowestEdited="4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Cover" sheetId="1" state="visible" r:id="rId3"/>
    <sheet name="Technologies" sheetId="2" state="visible" r:id="rId4"/>
    <sheet name="Business Use Cases" sheetId="3" state="visible" r:id="rId5"/>
    <sheet name="KPIs" sheetId="4" state="visible" r:id="rId6"/>
    <sheet name="Test Strategy &amp; Params" sheetId="5" state="visible" r:id="rId7"/>
    <sheet name="Test Scenarios" sheetId="6" state="visible" r:id="rId8"/>
    <sheet name="Test Cases" sheetId="7" state="visible" r:id="rId9"/>
    <sheet name="Functional" sheetId="8" state="visible" r:id="rId10"/>
    <sheet name="Regression Suite" sheetId="9" state="visible" r:id="rId11"/>
    <sheet name="Smoke Suite" sheetId="10" state="visible" r:id="rId12"/>
    <sheet name="Sanity Suite" sheetId="11" state="visible" r:id="rId13"/>
    <sheet name="Black Box" sheetId="12" state="visible" r:id="rId14"/>
    <sheet name="White Box" sheetId="13" state="visible" r:id="rId15"/>
    <sheet name="Security Testing" sheetId="14" state="visible" r:id="rId16"/>
    <sheet name="Database Testing" sheetId="15" state="visible" r:id="rId17"/>
    <sheet name="Technical-NFR" sheetId="16" state="visible" r:id="rId18"/>
    <sheet name="UAT" sheetId="17" state="visible" r:id="rId19"/>
    <sheet name="Traceability (RTM)" sheetId="18" state="visible" r:id="rId20"/>
    <sheet name="Defect Log" sheetId="19" state="visible" r:id="rId21"/>
    <sheet name="Environment &amp; Data" sheetId="20" state="visible" r:id="rId22"/>
    <sheet name="Entry-Exit Criteria" sheetId="21" state="visible" r:id="rId23"/>
  </sheets>
  <definedNames>
    <definedName function="false" hidden="true" localSheetId="11" name="_xlnm._FilterDatabase" vbProcedure="false">'Black Box'!$A$4:$D$12</definedName>
    <definedName function="false" hidden="true" localSheetId="2" name="_xlnm._FilterDatabase" vbProcedure="false">'Business Use Cases'!$A$4:$F$22</definedName>
    <definedName function="false" hidden="true" localSheetId="14" name="_xlnm._FilterDatabase" vbProcedure="false">'Database Testing'!$A$4:$E$16</definedName>
    <definedName function="false" hidden="true" localSheetId="18" name="_xlnm._FilterDatabase" vbProcedure="false">'Defect Log'!$A$4:$L$5</definedName>
    <definedName function="false" hidden="true" localSheetId="20" name="_xlnm._FilterDatabase" vbProcedure="false">'Entry-Exit Criteria'!$A$4:$C$12</definedName>
    <definedName function="false" hidden="true" localSheetId="19" name="_xlnm._FilterDatabase" vbProcedure="false">'Environment &amp; Data'!$A$4:$C$17</definedName>
    <definedName function="false" hidden="true" localSheetId="7" name="_xlnm._FilterDatabase" vbProcedure="false">Functional!$A$4:$E$14</definedName>
    <definedName function="false" hidden="true" localSheetId="3" name="_xlnm._FilterDatabase" vbProcedure="false">KPIs!$A$4:$E$25</definedName>
    <definedName function="false" hidden="true" localSheetId="8" name="_xlnm._FilterDatabase" vbProcedure="false">'Regression Suite'!$A$4:$F$17</definedName>
    <definedName function="false" hidden="true" localSheetId="10" name="_xlnm._FilterDatabase" vbProcedure="false">'Sanity Suite'!$A$4:$D$11</definedName>
    <definedName function="false" hidden="true" localSheetId="13" name="_xlnm._FilterDatabase" vbProcedure="false">'Security Testing'!$A$4:$E$19</definedName>
    <definedName function="false" hidden="true" localSheetId="9" name="_xlnm._FilterDatabase" vbProcedure="false">'Smoke Suite'!$A$4:$E$16</definedName>
    <definedName function="false" hidden="true" localSheetId="15" name="_xlnm._FilterDatabase" vbProcedure="false">'Technical-NFR'!$A$4:$E$19</definedName>
    <definedName function="false" hidden="true" localSheetId="1" name="_xlnm._FilterDatabase" vbProcedure="false">Technologies!$A$4:$D$19</definedName>
    <definedName function="false" hidden="true" localSheetId="6" name="_xlnm._FilterDatabase" vbProcedure="false">'Test Cases'!$A$1:$O$141</definedName>
    <definedName function="false" hidden="true" localSheetId="5" name="_xlnm._FilterDatabase" vbProcedure="false">'Test Scenarios'!$A$4:$D$35</definedName>
    <definedName function="false" hidden="true" localSheetId="4" name="_xlnm._FilterDatabase" vbProcedure="false">'Test Strategy &amp; Params'!$A$4:$E$25</definedName>
    <definedName function="false" hidden="true" localSheetId="17" name="_xlnm._FilterDatabase" vbProcedure="false">'Traceability (RTM)'!$A$4:$F$25</definedName>
    <definedName function="false" hidden="true" localSheetId="16" name="_xlnm._FilterDatabase" vbProcedure="false">UAT!$A$4:$H$16</definedName>
    <definedName function="false" hidden="true" localSheetId="12" name="_xlnm._FilterDatabase" vbProcedure="false">'White Box'!$A$4:$D$12</definedName>
  </definedName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<sst xmlns="http://schemas.openxmlformats.org/spreadsheetml/2006/main" count="3538" uniqueCount="1927">
  <si>
    <t xml:space="preserve">FLAVRLY</t>
  </si>
  <si>
    <t xml:space="preserve">Multi-Tenant Food Ordering &amp; Delivery Platform</t>
  </si>
  <si>
    <t xml:space="preserve">QUALITY ASSURANCE — MASTER TEST SUITE</t>
  </si>
  <si>
    <t xml:space="preserve">Comprehensive test documentation for the testing team</t>
  </si>
  <si>
    <t xml:space="preserve">Document</t>
  </si>
  <si>
    <t xml:space="preserve">Flavrly QA Master Test Suite</t>
  </si>
  <si>
    <t xml:space="preserve">Version</t>
  </si>
  <si>
    <t xml:space="preserve">1.0</t>
  </si>
  <si>
    <t xml:space="preserve">Prepared for</t>
  </si>
  <si>
    <t xml:space="preserve">Flavrly Testing / QA Team</t>
  </si>
  <si>
    <t xml:space="preserve">Scope</t>
  </si>
  <si>
    <t xml:space="preserve">Customer Web, Admin Dashboard, Kitchen Panel, Rider Native App, Super-Admin Platform, Payments, Realtime, APIs</t>
  </si>
  <si>
    <t xml:space="preserve">Environments</t>
  </si>
  <si>
    <t xml:space="preserve">Local · Staging · Production (https://flavrly.in)</t>
  </si>
  <si>
    <t xml:space="preserve">Test levels</t>
  </si>
  <si>
    <t xml:space="preserve">Unit · Integration · System · UAT</t>
  </si>
  <si>
    <t xml:space="preserve">Test types</t>
  </si>
  <si>
    <t xml:space="preserve">Functional · Regression · Smoke · Sanity · Security · Database · Performance · Compatibility · Accessibility · API</t>
  </si>
  <si>
    <t xml:space="preserve">Techniques</t>
  </si>
  <si>
    <t xml:space="preserve">Black Box · White Box · Grey Box</t>
  </si>
  <si>
    <t xml:space="preserve">Status legend</t>
  </si>
  <si>
    <t xml:space="preserve">Pass / Fail / Blocked / Not Run / Deferred</t>
  </si>
  <si>
    <t xml:space="preserve">Priority legend</t>
  </si>
  <si>
    <t xml:space="preserve">P1 Critical · P2 High · P3 Medium · P4 Low</t>
  </si>
  <si>
    <t xml:space="preserve">Workbook index: Cover · Technologies · Business Use Cases · KPIs · Test Strategy &amp; Parameters · Test Scenarios · Test Cases (master) · Functional · Regression · Smoke · Sanity · Black Box · White Box · Security · Database · Technical/Non-Functional · UAT · Traceability (RTM) · Defect Log · Test Environment &amp; Data · Entry-Exit Criteria</t>
  </si>
  <si>
    <t xml:space="preserve">Technologies Overview</t>
  </si>
  <si>
    <t xml:space="preserve">Stack, components and what each implies for testing</t>
  </si>
  <si>
    <t xml:space="preserve">Layer</t>
  </si>
  <si>
    <t xml:space="preserve">Technology / Component</t>
  </si>
  <si>
    <t xml:space="preserve">Purpose</t>
  </si>
  <si>
    <t xml:space="preserve">Testing implication</t>
  </si>
  <si>
    <t xml:space="preserve">Web framework</t>
  </si>
  <si>
    <t xml:space="preserve">Next.js 15 (App Router, React 18, server + client components)</t>
  </si>
  <si>
    <t xml:space="preserve">Customer site, Admin, Kitchen, Super-Admin panels + API routes</t>
  </si>
  <si>
    <t xml:space="preserve">SSR vs CSR rendering, route handlers, force-dynamic caching, server actions</t>
  </si>
  <si>
    <t xml:space="preserve">Language</t>
  </si>
  <si>
    <t xml:space="preserve">TypeScript (strict)</t>
  </si>
  <si>
    <t xml:space="preserve">Type-safe web + native code</t>
  </si>
  <si>
    <t xml:space="preserve">Type contracts; tsc must be clean; DTO/shape validation</t>
  </si>
  <si>
    <t xml:space="preserve">Database</t>
  </si>
  <si>
    <t xml:space="preserve">PostgreSQL via Prisma ORM 5.x</t>
  </si>
  <si>
    <t xml:space="preserve">Persistence for all entities</t>
  </si>
  <si>
    <t xml:space="preserve">Schema/migrations, constraints, enums, transactions, Decimal precision</t>
  </si>
  <si>
    <t xml:space="preserve">Auth</t>
  </si>
  <si>
    <t xml:space="preserve">NextAuth v5 (phone-OTP, email+password, Google OAuth) + rider Bearer JWT (HS256)</t>
  </si>
  <si>
    <t xml:space="preserve">Customer/staff/rider/super-admin auth</t>
  </si>
  <si>
    <t xml:space="preserve">Role enforcement, single active session, TOTP+IP for super-admin, token expiry</t>
  </si>
  <si>
    <t xml:space="preserve">Mobile</t>
  </si>
  <si>
    <t xml:space="preserve">React Native (Expo SDK 54), expo-router</t>
  </si>
  <si>
    <t xml:space="preserve">Rider native Android app (com.flavrly.rider)</t>
  </si>
  <si>
    <t xml:space="preserve">Permissions (location/camera), secure store, deep links, offline/edge cases</t>
  </si>
  <si>
    <t xml:space="preserve">Realtime</t>
  </si>
  <si>
    <t xml:space="preserve">Server-Sent Events (SSE) + polling fallback</t>
  </si>
  <si>
    <t xml:space="preserve">Order/rider status sync to kitchen/admin/super-admin</t>
  </si>
  <si>
    <t xml:space="preserve">Channel auth, reconnect, fan-out correctness, latency</t>
  </si>
  <si>
    <t xml:space="preserve">Payments</t>
  </si>
  <si>
    <t xml:space="preserve">Razorpay (online) + COD; webhook handler</t>
  </si>
  <si>
    <t xml:space="preserve">Checkout + settlement + refunds</t>
  </si>
  <si>
    <t xml:space="preserve">Signature verification, idempotency, refund (wallet-first) flows</t>
  </si>
  <si>
    <t xml:space="preserve">Maps/Geo</t>
  </si>
  <si>
    <t xml:space="preserve">Leaflet + OSM (web), react-native-maps (app), haversine</t>
  </si>
  <si>
    <t xml:space="preserve">Live tracking, delivery distance, surge zones</t>
  </si>
  <si>
    <t xml:space="preserve">GPS accuracy, geofence, distance-based payout</t>
  </si>
  <si>
    <t xml:space="preserve">SMS/OTP</t>
  </si>
  <si>
    <t xml:space="preserve">2Factor (primary, India) + MSG91/Fast2SMS/Textlocal/Twilio fallbacks; demo mode</t>
  </si>
  <si>
    <t xml:space="preserve">OTP delivery + transactional SMS</t>
  </si>
  <si>
    <t xml:space="preserve">Provider fallback, OTP_DEMO_MODE, rate limits, masking</t>
  </si>
  <si>
    <t xml:space="preserve">Email</t>
  </si>
  <si>
    <t xml:space="preserve">SMTP / Zoho / Brevo (IntegrationProvider)</t>
  </si>
  <si>
    <t xml:space="preserve">Transactional + alerts (FSSAI, login)</t>
  </si>
  <si>
    <t xml:space="preserve">Template render, delivery, debounce</t>
  </si>
  <si>
    <t xml:space="preserve">Storage</t>
  </si>
  <si>
    <t xml:space="preserve">S3-compatible adapter + local /uploads</t>
  </si>
  <si>
    <t xml:space="preserve">Menu images, KYC docs, proof-of-delivery, avatars</t>
  </si>
  <si>
    <t xml:space="preserve">Allowlist, size/type limits, signed URLs, fallback rendering</t>
  </si>
  <si>
    <t xml:space="preserve">Hosting</t>
  </si>
  <si>
    <t xml:space="preserve">Hostinger VPS · nginx reverse proxy → Node :3000 · PM2 (rm-web, rm-worker)</t>
  </si>
  <si>
    <t xml:space="preserve">Production runtime at flavrly.in (SSL)</t>
  </si>
  <si>
    <t xml:space="preserve">TLS, http→https redirect, process restart, health endpoint</t>
  </si>
  <si>
    <t xml:space="preserve">CI/CD</t>
  </si>
  <si>
    <t xml:space="preserve">GitHub + deploy.sh / fix-prod.sh (git pull → prisma db push → build → pm2 reload)</t>
  </si>
  <si>
    <t xml:space="preserve">Release pipeline</t>
  </si>
  <si>
    <t xml:space="preserve">Migration application, rollback, smoke after deploy</t>
  </si>
  <si>
    <t xml:space="preserve">Observability</t>
  </si>
  <si>
    <t xml:space="preserve">ErrorLog + HealthProbe models, /platform/observability, /api/system/health</t>
  </si>
  <si>
    <t xml:space="preserve">Monitoring</t>
  </si>
  <si>
    <t xml:space="preserve">Health green, error capture, alert thresholds</t>
  </si>
  <si>
    <t xml:space="preserve">Background jobs</t>
  </si>
  <si>
    <t xml:space="preserve">Cron routes: food-license expiry, KYC expiry, rider-shift no-show, escalations, heartbeat sweep</t>
  </si>
  <si>
    <t xml:space="preserve">Scheduled ops</t>
  </si>
  <si>
    <t xml:space="preserve">Idempotency, schedule correctness, IST timezone math</t>
  </si>
  <si>
    <t xml:space="preserve">Business Use Cases</t>
  </si>
  <si>
    <t xml:space="preserve">Primary value flows the platform must deliver, by actor</t>
  </si>
  <si>
    <t xml:space="preserve">UC ID</t>
  </si>
  <si>
    <t xml:space="preserve">Actor</t>
  </si>
  <si>
    <t xml:space="preserve">Business Use Case</t>
  </si>
  <si>
    <t xml:space="preserve">Description</t>
  </si>
  <si>
    <t xml:space="preserve">Success Outcome</t>
  </si>
  <si>
    <t xml:space="preserve">Linked Modules</t>
  </si>
  <si>
    <t xml:space="preserve">UC-01</t>
  </si>
  <si>
    <t xml:space="preserve">Customer</t>
  </si>
  <si>
    <t xml:space="preserve">Discover &amp; order food</t>
  </si>
  <si>
    <t xml:space="preserve">Browse restaurant storefront, build cart, apply offers, checkout &amp; pay</t>
  </si>
  <si>
    <t xml:space="preserve">Order placed, payment captured/COD confirmed, tracking starts</t>
  </si>
  <si>
    <t xml:space="preserve">Customer Web, Offers, Payments</t>
  </si>
  <si>
    <t xml:space="preserve">UC-02</t>
  </si>
  <si>
    <t xml:space="preserve">Choose fulfillment</t>
  </si>
  <si>
    <t xml:space="preserve">Pick Delivery / Pickup / Dine-in / Scheduled / table reservation</t>
  </si>
  <si>
    <t xml:space="preserve">Correct flow, charges &amp; codes (delivery OTP / pickup code) issued</t>
  </si>
  <si>
    <t xml:space="preserve">Checkout, Reservations</t>
  </si>
  <si>
    <t xml:space="preserve">UC-03</t>
  </si>
  <si>
    <t xml:space="preserve">Save with promotions</t>
  </si>
  <si>
    <t xml:space="preserve">Auto-apply BOGO, happy-hour pricing, coupons, freebies, signup bonus, loyalty, wallet</t>
  </si>
  <si>
    <t xml:space="preserve">Best eligible discount applied; totals correct</t>
  </si>
  <si>
    <t xml:space="preserve">Offers Engine, Wallet, Loyalty</t>
  </si>
  <si>
    <t xml:space="preserve">UC-04</t>
  </si>
  <si>
    <t xml:space="preserve">Track &amp; receive order</t>
  </si>
  <si>
    <t xml:space="preserve">Live status + rider GPS; hand-over via delivery OTP; rate order</t>
  </si>
  <si>
    <t xml:space="preserve">Delivered, OTP verified, feedback captured</t>
  </si>
  <si>
    <t xml:space="preserve">Realtime, Rider App, Feedback</t>
  </si>
  <si>
    <t xml:space="preserve">UC-05</t>
  </si>
  <si>
    <t xml:space="preserve">Get refunded</t>
  </si>
  <si>
    <t xml:space="preserve">Cancelled/failed order refunded to wallet (default) or original method</t>
  </si>
  <si>
    <t xml:space="preserve">Refund recorded; wallet credited / gateway reversed</t>
  </si>
  <si>
    <t xml:space="preserve">Refunds, Wallet, Payments</t>
  </si>
  <si>
    <t xml:space="preserve">UC-06</t>
  </si>
  <si>
    <t xml:space="preserve">Restaurant Admin</t>
  </si>
  <si>
    <t xml:space="preserve">Run storefront</t>
  </si>
  <si>
    <t xml:space="preserve">Manage menu, combos, offers, happy hours, branches, FSSAI licence, settings</t>
  </si>
  <si>
    <t xml:space="preserve">Catalog &amp; policies live and correct</t>
  </si>
  <si>
    <t xml:space="preserve">Admin Dashboard</t>
  </si>
  <si>
    <t xml:space="preserve">UC-07</t>
  </si>
  <si>
    <t xml:space="preserve">Operate orders</t>
  </si>
  <si>
    <t xml:space="preserve">Accept/prepare/ready orders; manage dedicated riders &amp; safety</t>
  </si>
  <si>
    <t xml:space="preserve">Orders progress; SLAs met</t>
  </si>
  <si>
    <t xml:space="preserve">Admin, Kitchen, Dispatch</t>
  </si>
  <si>
    <t xml:space="preserve">UC-08</t>
  </si>
  <si>
    <t xml:space="preserve">Manage a group</t>
  </si>
  <si>
    <t xml:space="preserve">Parent restaurant manages child outlets, shared riders, unified board, rollup reports</t>
  </si>
  <si>
    <t xml:space="preserve">Group operations &amp; reporting consistent</t>
  </si>
  <si>
    <t xml:space="preserve">Hierarchy, Reports</t>
  </si>
  <si>
    <t xml:space="preserve">UC-09</t>
  </si>
  <si>
    <t xml:space="preserve">Kitchen</t>
  </si>
  <si>
    <t xml:space="preserve">Fulfil orders</t>
  </si>
  <si>
    <t xml:space="preserve">Receive new orders, accept, mark preparing/ready (KOT)</t>
  </si>
  <si>
    <t xml:space="preserve">Kitchen throughput; ready handoff to rider</t>
  </si>
  <si>
    <t xml:space="preserve">Kitchen Panel</t>
  </si>
  <si>
    <t xml:space="preserve">UC-10</t>
  </si>
  <si>
    <t xml:space="preserve">Rider</t>
  </si>
  <si>
    <t xml:space="preserve">Earn deliveries</t>
  </si>
  <si>
    <t xml:space="preserve">Go online, claim from pool / accept batch, pick up, deliver with OTP</t>
  </si>
  <si>
    <t xml:space="preserve">Delivery completed; earnings credited (base+surge+tier+incentive)</t>
  </si>
  <si>
    <t xml:space="preserve">Rider App, Pay Engine</t>
  </si>
  <si>
    <t xml:space="preserve">UC-11</t>
  </si>
  <si>
    <t xml:space="preserve">Manage profile &amp; money</t>
  </si>
  <si>
    <t xml:space="preserve">Complete KYC, view earnings, request payout, track incentives/tiers/referrals</t>
  </si>
  <si>
    <t xml:space="preserve">KYC approved; payouts processed; bonuses paid</t>
  </si>
  <si>
    <t xml:space="preserve">Rider App, Payouts</t>
  </si>
  <si>
    <t xml:space="preserve">UC-12</t>
  </si>
  <si>
    <t xml:space="preserve">Stay safe</t>
  </si>
  <si>
    <t xml:space="preserve">Trigger SOS, share live trip, log incidents, message support</t>
  </si>
  <si>
    <t xml:space="preserve">Alert raised; support responds</t>
  </si>
  <si>
    <t xml:space="preserve">Safety/SOS, Messaging</t>
  </si>
  <si>
    <t xml:space="preserve">UC-13</t>
  </si>
  <si>
    <t xml:space="preserve">Super Admin</t>
  </si>
  <si>
    <t xml:space="preserve">Onboard &amp; govern</t>
  </si>
  <si>
    <t xml:space="preserve">Approve restaurants/riders, manage brands, KYC review, security (2FA/IP)</t>
  </si>
  <si>
    <t xml:space="preserve">Controlled platform access</t>
  </si>
  <si>
    <t xml:space="preserve">Super-Admin Platform</t>
  </si>
  <si>
    <t xml:space="preserve">UC-14</t>
  </si>
  <si>
    <t xml:space="preserve">Control money &amp; users</t>
  </si>
  <si>
    <t xml:space="preserve">Adjust wallet, suspend/reinstate users, refund orders, COD reconciliation, payout rules</t>
  </si>
  <si>
    <t xml:space="preserve">Financial &amp; account controls enforced + audited</t>
  </si>
  <si>
    <t xml:space="preserve">Users, Payouts, COD, Refunds</t>
  </si>
  <si>
    <t xml:space="preserve">UC-15</t>
  </si>
  <si>
    <t xml:space="preserve">Configure rider economics</t>
  </si>
  <si>
    <t xml:space="preserve">Surge zones, rider tiers, incentive slabs, referral lifecycle, per-rider payout overrides</t>
  </si>
  <si>
    <t xml:space="preserve">Pay correctly reflects policy</t>
  </si>
  <si>
    <t xml:space="preserve">Surge, Tiers, Incentives, Referrals</t>
  </si>
  <si>
    <t xml:space="preserve">UC-16</t>
  </si>
  <si>
    <t xml:space="preserve">Monitor &amp; support</t>
  </si>
  <si>
    <t xml:space="preserve">Live tracking, observability/health, support tickets, audit log</t>
  </si>
  <si>
    <t xml:space="preserve">Issues detected &amp; resolved; full audit trail</t>
  </si>
  <si>
    <t xml:space="preserve">Observability, Support, Audit</t>
  </si>
  <si>
    <t xml:space="preserve">UC-17</t>
  </si>
  <si>
    <t xml:space="preserve">System</t>
  </si>
  <si>
    <t xml:space="preserve">Notify stakeholders</t>
  </si>
  <si>
    <t xml:space="preserve">OTP, order updates, FSSAI/KYC expiry alerts via SMS/email/in-app</t>
  </si>
  <si>
    <t xml:space="preserve">Right party notified, debounced</t>
  </si>
  <si>
    <t xml:space="preserve">Notifications</t>
  </si>
  <si>
    <t xml:space="preserve">UC-18</t>
  </si>
  <si>
    <t xml:space="preserve">Run scheduled ops</t>
  </si>
  <si>
    <t xml:space="preserve">Expiry sweeps, no-show shift sweep, escalations, heartbeat</t>
  </si>
  <si>
    <t xml:space="preserve">Automated housekeeping runs reliably</t>
  </si>
  <si>
    <t xml:space="preserve">Cron Jobs</t>
  </si>
  <si>
    <t xml:space="preserve">KPIs &amp; Quality Metrics</t>
  </si>
  <si>
    <t xml:space="preserve">Product KPIs to validate + QA process metrics to track</t>
  </si>
  <si>
    <t xml:space="preserve">Category</t>
  </si>
  <si>
    <t xml:space="preserve">KPI / Metric</t>
  </si>
  <si>
    <t xml:space="preserve">Definition</t>
  </si>
  <si>
    <t xml:space="preserve">Target / Threshold</t>
  </si>
  <si>
    <t xml:space="preserve">How tested / measured</t>
  </si>
  <si>
    <t xml:space="preserve">Product</t>
  </si>
  <si>
    <t xml:space="preserve">Order success rate</t>
  </si>
  <si>
    <t xml:space="preserve">Orders placed without payment/technical failure</t>
  </si>
  <si>
    <t xml:space="preserve">&gt; 98%</t>
  </si>
  <si>
    <t xml:space="preserve">E2E checkout tests across payment methods</t>
  </si>
  <si>
    <t xml:space="preserve">Checkout completion</t>
  </si>
  <si>
    <t xml:space="preserve">Carts converted to placed orders</t>
  </si>
  <si>
    <t xml:space="preserve">Track trend</t>
  </si>
  <si>
    <t xml:space="preserve">Funnel + functional tests</t>
  </si>
  <si>
    <t xml:space="preserve">Order accuracy</t>
  </si>
  <si>
    <t xml:space="preserve">Items/price/charges match cart at delivery</t>
  </si>
  <si>
    <t xml:space="preserve">100%</t>
  </si>
  <si>
    <t xml:space="preserve">Pricing + offers regression</t>
  </si>
  <si>
    <t xml:space="preserve">Promotion correctness</t>
  </si>
  <si>
    <t xml:space="preserve">BOGO/HH/coupon/freebie computed correctly</t>
  </si>
  <si>
    <t xml:space="preserve">Offer engine unit + E2E</t>
  </si>
  <si>
    <t xml:space="preserve">On-time delivery</t>
  </si>
  <si>
    <t xml:space="preserve">Delivered within ETA window</t>
  </si>
  <si>
    <t xml:space="preserve">&gt; 90%</t>
  </si>
  <si>
    <t xml:space="preserve">Tracking + ETA validation</t>
  </si>
  <si>
    <t xml:space="preserve">Rider assignment time</t>
  </si>
  <si>
    <t xml:space="preserve">READY → claimed</t>
  </si>
  <si>
    <t xml:space="preserve">&lt; 5 min (fallback window)</t>
  </si>
  <si>
    <t xml:space="preserve">Pool/dispatch tests</t>
  </si>
  <si>
    <t xml:space="preserve">Refund SLA</t>
  </si>
  <si>
    <t xml:space="preserve">Refund recorded after approval</t>
  </si>
  <si>
    <t xml:space="preserve">Instant (wallet)</t>
  </si>
  <si>
    <t xml:space="preserve">Refund flow tests</t>
  </si>
  <si>
    <t xml:space="preserve">OTP delivery success</t>
  </si>
  <si>
    <t xml:space="preserve">OTP delivered &amp; verified</t>
  </si>
  <si>
    <t xml:space="preserve">&gt; 97%</t>
  </si>
  <si>
    <t xml:space="preserve">SMS provider + verify tests</t>
  </si>
  <si>
    <t xml:space="preserve">Performance</t>
  </si>
  <si>
    <t xml:space="preserve">API p95 latency</t>
  </si>
  <si>
    <t xml:space="preserve">95th percentile response time</t>
  </si>
  <si>
    <t xml:space="preserve">&lt; 800 ms</t>
  </si>
  <si>
    <t xml:space="preserve">Load/perf testing</t>
  </si>
  <si>
    <t xml:space="preserve">Page LCP (mobile)</t>
  </si>
  <si>
    <t xml:space="preserve">Largest Contentful Paint</t>
  </si>
  <si>
    <t xml:space="preserve">&lt; 2.5 s</t>
  </si>
  <si>
    <t xml:space="preserve">Lighthouse/perf</t>
  </si>
  <si>
    <t xml:space="preserve">Realtime latency</t>
  </si>
  <si>
    <t xml:space="preserve">Status change → UI update</t>
  </si>
  <si>
    <t xml:space="preserve">&lt; 3 s</t>
  </si>
  <si>
    <t xml:space="preserve">SSE sync tests</t>
  </si>
  <si>
    <t xml:space="preserve">Reliability</t>
  </si>
  <si>
    <t xml:space="preserve">Uptime</t>
  </si>
  <si>
    <t xml:space="preserve">Production availability</t>
  </si>
  <si>
    <t xml:space="preserve">&gt; 99.5%</t>
  </si>
  <si>
    <t xml:space="preserve">Health probe / observability</t>
  </si>
  <si>
    <t xml:space="preserve">Error rate</t>
  </si>
  <si>
    <t xml:space="preserve">5xx / total requests</t>
  </si>
  <si>
    <t xml:space="preserve">&lt; 0.5%</t>
  </si>
  <si>
    <t xml:space="preserve">ErrorLog monitoring</t>
  </si>
  <si>
    <t xml:space="preserve">Security</t>
  </si>
  <si>
    <t xml:space="preserve">Auth bypass defects</t>
  </si>
  <si>
    <t xml:space="preserve">Unauthorized access to protected routes</t>
  </si>
  <si>
    <t xml:space="preserve">0</t>
  </si>
  <si>
    <t xml:space="preserve">Security/authorization tests</t>
  </si>
  <si>
    <t xml:space="preserve">Critical vulns open</t>
  </si>
  <si>
    <t xml:space="preserve">Open P1 security defects</t>
  </si>
  <si>
    <t xml:space="preserve">0 at release</t>
  </si>
  <si>
    <t xml:space="preserve">Security suite + scans</t>
  </si>
  <si>
    <t xml:space="preserve">QA Process</t>
  </si>
  <si>
    <t xml:space="preserve">Requirement coverage</t>
  </si>
  <si>
    <t xml:space="preserve">Requirements with ≥1 test case</t>
  </si>
  <si>
    <t xml:space="preserve">RTM</t>
  </si>
  <si>
    <t xml:space="preserve">Test pass rate</t>
  </si>
  <si>
    <t xml:space="preserve">Passed / executed</t>
  </si>
  <si>
    <t xml:space="preserve">&gt; 95% to release</t>
  </si>
  <si>
    <t xml:space="preserve">Execution tracking</t>
  </si>
  <si>
    <t xml:space="preserve">Defect density</t>
  </si>
  <si>
    <t xml:space="preserve">Defects per module/KLOC</t>
  </si>
  <si>
    <t xml:space="preserve">Trend down</t>
  </si>
  <si>
    <t xml:space="preserve">Defect log</t>
  </si>
  <si>
    <t xml:space="preserve">Defect leakage</t>
  </si>
  <si>
    <t xml:space="preserve">Defects found in prod / total</t>
  </si>
  <si>
    <t xml:space="preserve">&lt; 5%</t>
  </si>
  <si>
    <t xml:space="preserve">Post-release review</t>
  </si>
  <si>
    <t xml:space="preserve">Automation coverage</t>
  </si>
  <si>
    <t xml:space="preserve">Automated / total regression cases</t>
  </si>
  <si>
    <t xml:space="preserve">&gt; 60% target</t>
  </si>
  <si>
    <t xml:space="preserve">Automation flag in Test Cases</t>
  </si>
  <si>
    <t xml:space="preserve">Critical defect closure</t>
  </si>
  <si>
    <t xml:space="preserve">P1 defects closed before release</t>
  </si>
  <si>
    <t xml:space="preserve">Test Strategy &amp; Testing Parameters</t>
  </si>
  <si>
    <t xml:space="preserve">Definitions, purpose, scope and when each test type runs</t>
  </si>
  <si>
    <t xml:space="preserve">Test Type / Parameter</t>
  </si>
  <si>
    <t xml:space="preserve">Scope on Flavrly</t>
  </si>
  <si>
    <t xml:space="preserve">When executed</t>
  </si>
  <si>
    <t xml:space="preserve">Owner</t>
  </si>
  <si>
    <t xml:space="preserve">Smoke Testing</t>
  </si>
  <si>
    <t xml:space="preserve">Wide, shallow check that critical paths work after a build</t>
  </si>
  <si>
    <t xml:space="preserve">Login, place order, payment, rider claim/deliver, admin order board</t>
  </si>
  <si>
    <t xml:space="preserve">Every build / post-deploy</t>
  </si>
  <si>
    <t xml:space="preserve">QA</t>
  </si>
  <si>
    <t xml:space="preserve">Sanity Testing</t>
  </si>
  <si>
    <t xml:space="preserve">Narrow, deep check of a specific changed area</t>
  </si>
  <si>
    <t xml:space="preserve">The module(s) touched by a change</t>
  </si>
  <si>
    <t xml:space="preserve">After bug fix / minor change</t>
  </si>
  <si>
    <t xml:space="preserve">Functional Testing</t>
  </si>
  <si>
    <t xml:space="preserve">Validate features against requirements</t>
  </si>
  <si>
    <t xml:space="preserve">All modules &amp; flows</t>
  </si>
  <si>
    <t xml:space="preserve">Per feature / per sprint</t>
  </si>
  <si>
    <t xml:space="preserve">Regression Testing</t>
  </si>
  <si>
    <t xml:space="preserve">Ensure existing features still work after changes</t>
  </si>
  <si>
    <t xml:space="preserve">Full prioritized suite</t>
  </si>
  <si>
    <t xml:space="preserve">Pre-release / nightly</t>
  </si>
  <si>
    <t xml:space="preserve">QA + Automation</t>
  </si>
  <si>
    <t xml:space="preserve">Integration Testing</t>
  </si>
  <si>
    <t xml:space="preserve">Validate interactions between components/services</t>
  </si>
  <si>
    <t xml:space="preserve">Web↔DB, app↔API, payments webhook, SSE</t>
  </si>
  <si>
    <t xml:space="preserve">Per integration</t>
  </si>
  <si>
    <t xml:space="preserve">QA + Dev</t>
  </si>
  <si>
    <t xml:space="preserve">System Testing</t>
  </si>
  <si>
    <t xml:space="preserve">End-to-end across the whole platform</t>
  </si>
  <si>
    <t xml:space="preserve">Customer→Kitchen→Rider→Super-admin flows</t>
  </si>
  <si>
    <t xml:space="preserve">Pre-UAT</t>
  </si>
  <si>
    <t xml:space="preserve">UAT</t>
  </si>
  <si>
    <t xml:space="preserve">Business validation by stakeholders</t>
  </si>
  <si>
    <t xml:space="preserve">Real-world business scenarios</t>
  </si>
  <si>
    <t xml:space="preserve">Pre-launch sign-off</t>
  </si>
  <si>
    <t xml:space="preserve">Business/PO</t>
  </si>
  <si>
    <t xml:space="preserve">Black Box</t>
  </si>
  <si>
    <t xml:space="preserve">Test via inputs/outputs without internal code knowledge</t>
  </si>
  <si>
    <t xml:space="preserve">UI, API behavior, validations</t>
  </si>
  <si>
    <t xml:space="preserve">All functional testing</t>
  </si>
  <si>
    <t xml:space="preserve">White Box</t>
  </si>
  <si>
    <t xml:space="preserve">Test internal logic/paths/branches with code knowledge</t>
  </si>
  <si>
    <t xml:space="preserve">Offer/pay engines, auth guards, state machine</t>
  </si>
  <si>
    <t xml:space="preserve">Unit + code-level</t>
  </si>
  <si>
    <t xml:space="preserve">Dev/SDET</t>
  </si>
  <si>
    <t xml:space="preserve">Grey Box</t>
  </si>
  <si>
    <t xml:space="preserve">Partial knowledge (DB + API + UI)</t>
  </si>
  <si>
    <t xml:space="preserve">Data integrity across flows</t>
  </si>
  <si>
    <t xml:space="preserve">Integration</t>
  </si>
  <si>
    <t xml:space="preserve">QA/SDET</t>
  </si>
  <si>
    <t xml:space="preserve">Security Testing</t>
  </si>
  <si>
    <t xml:space="preserve">Find vulnerabilities &amp; enforce access control</t>
  </si>
  <si>
    <t xml:space="preserve">AuthN/Z, injection, secrets, headers, IDOR</t>
  </si>
  <si>
    <t xml:space="preserve">Per release + ad hoc</t>
  </si>
  <si>
    <t xml:space="preserve">Security/QA</t>
  </si>
  <si>
    <t xml:space="preserve">Database Testing</t>
  </si>
  <si>
    <t xml:space="preserve">Validate data integrity, constraints, transactions</t>
  </si>
  <si>
    <t xml:space="preserve">Prisma schema, migrations, Decimal money</t>
  </si>
  <si>
    <t xml:space="preserve">Per data change</t>
  </si>
  <si>
    <t xml:space="preserve">SDET/DBA</t>
  </si>
  <si>
    <t xml:space="preserve">Performance Testing</t>
  </si>
  <si>
    <t xml:space="preserve">Latency/throughput under load</t>
  </si>
  <si>
    <t xml:space="preserve">APIs, checkout, realtime, pool</t>
  </si>
  <si>
    <t xml:space="preserve">Pre-release</t>
  </si>
  <si>
    <t xml:space="preserve">Perf/QA</t>
  </si>
  <si>
    <t xml:space="preserve">Compatibility Testing</t>
  </si>
  <si>
    <t xml:space="preserve">Cross browser/device/OS behavior</t>
  </si>
  <si>
    <t xml:space="preserve">Chrome/Safari/Firefox; Android versions; viewports</t>
  </si>
  <si>
    <t xml:space="preserve">Per release</t>
  </si>
  <si>
    <t xml:space="preserve">Accessibility Testing</t>
  </si>
  <si>
    <t xml:space="preserve">WCAG conformance</t>
  </si>
  <si>
    <t xml:space="preserve">Customer web key flows</t>
  </si>
  <si>
    <t xml:space="preserve">API Testing</t>
  </si>
  <si>
    <t xml:space="preserve">Contract, status codes, payloads, errors</t>
  </si>
  <si>
    <t xml:space="preserve">All /api/* and /api/rider/*</t>
  </si>
  <si>
    <t xml:space="preserve">Per endpoint</t>
  </si>
  <si>
    <t xml:space="preserve">SDET</t>
  </si>
  <si>
    <t xml:space="preserve">Usability Testing</t>
  </si>
  <si>
    <t xml:space="preserve">Ease-of-use of flows</t>
  </si>
  <si>
    <t xml:space="preserve">Checkout, rider claim/deliver</t>
  </si>
  <si>
    <t xml:space="preserve">UAT phase</t>
  </si>
  <si>
    <t xml:space="preserve">Business/QA</t>
  </si>
  <si>
    <t xml:space="preserve">Localization/Geo</t>
  </si>
  <si>
    <t xml:space="preserve">India context: ₹, IST, phone format, Guntur geography</t>
  </si>
  <si>
    <t xml:space="preserve">Currency, timezone, pincodes</t>
  </si>
  <si>
    <t xml:space="preserve">Test Data Mgmt</t>
  </si>
  <si>
    <t xml:space="preserve">Defined seed data + masking of PII</t>
  </si>
  <si>
    <t xml:space="preserve">Seeded riders/restaurants/orders</t>
  </si>
  <si>
    <t xml:space="preserve">Ongoing</t>
  </si>
  <si>
    <t xml:space="preserve">Entry Criteria</t>
  </si>
  <si>
    <t xml:space="preserve">Build deployed, env up, test data ready, AC defined</t>
  </si>
  <si>
    <t xml:space="preserve">-</t>
  </si>
  <si>
    <t xml:space="preserve">Phase start</t>
  </si>
  <si>
    <t xml:space="preserve">QA Lead</t>
  </si>
  <si>
    <t xml:space="preserve">Exit Criteria</t>
  </si>
  <si>
    <t xml:space="preserve">Pass rate met, 0 open P1/P2, RTM complete, sign-off</t>
  </si>
  <si>
    <t xml:space="preserve">Phase end</t>
  </si>
  <si>
    <t xml:space="preserve">Test Scenarios</t>
  </si>
  <si>
    <t xml:space="preserve">High-level scenarios per module (each expands into multiple test cases)</t>
  </si>
  <si>
    <t xml:space="preserve">Scenario ID</t>
  </si>
  <si>
    <t xml:space="preserve">Module</t>
  </si>
  <si>
    <t xml:space="preserve">Test Scenario</t>
  </si>
  <si>
    <t xml:space="preserve">Coverage Notes</t>
  </si>
  <si>
    <t xml:space="preserve">SC-AUTH-01</t>
  </si>
  <si>
    <t xml:space="preserve">Authentication</t>
  </si>
  <si>
    <t xml:space="preserve">Verify customer phone-OTP login (request, verify, resend, expiry, lockout)</t>
  </si>
  <si>
    <t xml:space="preserve">Positive, negative, rate-limit</t>
  </si>
  <si>
    <t xml:space="preserve">SC-AUTH-02</t>
  </si>
  <si>
    <t xml:space="preserve">Verify staff email+password login with role routing</t>
  </si>
  <si>
    <t xml:space="preserve">Admin/Kitchen/Super-admin</t>
  </si>
  <si>
    <t xml:space="preserve">SC-AUTH-03</t>
  </si>
  <si>
    <t xml:space="preserve">Verify super-admin extra gates (TOTP 2FA + IP allowlist)</t>
  </si>
  <si>
    <t xml:space="preserve">SC-AUTH-04</t>
  </si>
  <si>
    <t xml:space="preserve">Verify single active session enforcement &amp; force-logout</t>
  </si>
  <si>
    <t xml:space="preserve">Multi-device</t>
  </si>
  <si>
    <t xml:space="preserve">SC-AUTH-05</t>
  </si>
  <si>
    <t xml:space="preserve">Verify account suspension blocks login everywhere (web + rider token)</t>
  </si>
  <si>
    <t xml:space="preserve">SC-DISC-01</t>
  </si>
  <si>
    <t xml:space="preserve">Discovery</t>
  </si>
  <si>
    <t xml:space="preserve">Browse storefront, categories, search, scheduled category availability</t>
  </si>
  <si>
    <t xml:space="preserve">Customer web</t>
  </si>
  <si>
    <t xml:space="preserve">SC-CART-01</t>
  </si>
  <si>
    <t xml:space="preserve">Offers/Cart</t>
  </si>
  <si>
    <t xml:space="preserve">Apply BOGO, happy-hour, coupons, freebies, combos, cross-sell</t>
  </si>
  <si>
    <t xml:space="preserve">Offer engine</t>
  </si>
  <si>
    <t xml:space="preserve">SC-CART-02</t>
  </si>
  <si>
    <t xml:space="preserve">Signup bonus, wallet, loyalty redemption &amp; savings celebration</t>
  </si>
  <si>
    <t xml:space="preserve">Wallet/Loyalty</t>
  </si>
  <si>
    <t xml:space="preserve">SC-CHK-01</t>
  </si>
  <si>
    <t xml:space="preserve">Checkout</t>
  </si>
  <si>
    <t xml:space="preserve">Delivery / Pickup / Dine-in / Scheduled order placement</t>
  </si>
  <si>
    <t xml:space="preserve">Fulfillment</t>
  </si>
  <si>
    <t xml:space="preserve">SC-CHK-02</t>
  </si>
  <si>
    <t xml:space="preserve">Table reservation flow</t>
  </si>
  <si>
    <t xml:space="preserve">Reservations</t>
  </si>
  <si>
    <t xml:space="preserve">SC-PAY-01</t>
  </si>
  <si>
    <t xml:space="preserve">Razorpay online payment + webhook capture</t>
  </si>
  <si>
    <t xml:space="preserve">SC-PAY-02</t>
  </si>
  <si>
    <t xml:space="preserve">COD order + reconciliation</t>
  </si>
  <si>
    <t xml:space="preserve">COD</t>
  </si>
  <si>
    <t xml:space="preserve">SC-PAY-03</t>
  </si>
  <si>
    <t xml:space="preserve">Refund to wallet (default) and original method (admin opt-in)</t>
  </si>
  <si>
    <t xml:space="preserve">Refunds</t>
  </si>
  <si>
    <t xml:space="preserve">SC-ORD-01</t>
  </si>
  <si>
    <t xml:space="preserve">Order Lifecycle</t>
  </si>
  <si>
    <t xml:space="preserve">Status transitions &amp; realtime sync to kitchen/admin/super-admin</t>
  </si>
  <si>
    <t xml:space="preserve">SSE</t>
  </si>
  <si>
    <t xml:space="preserve">SC-RID-01</t>
  </si>
  <si>
    <t xml:space="preserve">Rider App</t>
  </si>
  <si>
    <t xml:space="preserve">Login, online toggle, pool watch, claim, pickup, deliver OTP</t>
  </si>
  <si>
    <t xml:space="preserve">Native</t>
  </si>
  <si>
    <t xml:space="preserve">SC-RID-02</t>
  </si>
  <si>
    <t xml:space="preserve">Earnings, payout request, KYC upload/review</t>
  </si>
  <si>
    <t xml:space="preserve">Money/KYC</t>
  </si>
  <si>
    <t xml:space="preserve">SC-RID-03</t>
  </si>
  <si>
    <t xml:space="preserve">Surge + tier + incentive applied to payout</t>
  </si>
  <si>
    <t xml:space="preserve">Pay engine</t>
  </si>
  <si>
    <t xml:space="preserve">SC-RID-04</t>
  </si>
  <si>
    <t xml:space="preserve">Batch invitation accept/decline; dedicated vs fleet dispatch</t>
  </si>
  <si>
    <t xml:space="preserve">Dispatch</t>
  </si>
  <si>
    <t xml:space="preserve">SC-RID-05</t>
  </si>
  <si>
    <t xml:space="preserve">SOS, live trip share, incident log, messaging</t>
  </si>
  <si>
    <t xml:space="preserve">Safety</t>
  </si>
  <si>
    <t xml:space="preserve">SC-ADM-01</t>
  </si>
  <si>
    <t xml:space="preserve">Admin</t>
  </si>
  <si>
    <t xml:space="preserve">Menu CRUD, variants/modifiers, import/export, combos</t>
  </si>
  <si>
    <t xml:space="preserve">Catalog</t>
  </si>
  <si>
    <t xml:space="preserve">SC-ADM-02</t>
  </si>
  <si>
    <t xml:space="preserve">Offers/Happy hours/Coupons/Challenges management</t>
  </si>
  <si>
    <t xml:space="preserve">Promotions</t>
  </si>
  <si>
    <t xml:space="preserve">SC-ADM-03</t>
  </si>
  <si>
    <t xml:space="preserve">Branches, FSSAI food licence + expiry alerts, settings, packaging fee</t>
  </si>
  <si>
    <t xml:space="preserve">Settings</t>
  </si>
  <si>
    <t xml:space="preserve">SC-ADM-04</t>
  </si>
  <si>
    <t xml:space="preserve">Group hierarchy: child management, shared riders, rollup reports</t>
  </si>
  <si>
    <t xml:space="preserve">Hierarchy</t>
  </si>
  <si>
    <t xml:space="preserve">SC-SUP-01</t>
  </si>
  <si>
    <t xml:space="preserve">Super-Admin</t>
  </si>
  <si>
    <t xml:space="preserve">Restaurant &amp; rider approval, brands, KYC review</t>
  </si>
  <si>
    <t xml:space="preserve">Governance</t>
  </si>
  <si>
    <t xml:space="preserve">SC-SUP-02</t>
  </si>
  <si>
    <t xml:space="preserve">User suspension/reinstate, wallet adjust, refunds, COD recon</t>
  </si>
  <si>
    <t xml:space="preserve">Money/Users</t>
  </si>
  <si>
    <t xml:space="preserve">SC-SUP-03</t>
  </si>
  <si>
    <t xml:space="preserve">Surge zones, tiers, incentives, referral lifecycle, payout rules</t>
  </si>
  <si>
    <t xml:space="preserve">Rider economics</t>
  </si>
  <si>
    <t xml:space="preserve">SC-SUP-04</t>
  </si>
  <si>
    <t xml:space="preserve">QR generation, live tracking, support tickets, audit log, observability</t>
  </si>
  <si>
    <t xml:space="preserve">Ops</t>
  </si>
  <si>
    <t xml:space="preserve">SC-NOT-01</t>
  </si>
  <si>
    <t xml:space="preserve">OTP + order + FSSAI/KYC expiry via SMS/email/in-app with debounce</t>
  </si>
  <si>
    <t xml:space="preserve">Comms</t>
  </si>
  <si>
    <t xml:space="preserve">SC-SEC-01</t>
  </si>
  <si>
    <t xml:space="preserve">Authorization, injection, rate limits, secrets, headers, IDOR, uploads</t>
  </si>
  <si>
    <t xml:space="preserve">SC-DB-01</t>
  </si>
  <si>
    <t xml:space="preserve">Integrity, constraints, transactions, migrations, money precision</t>
  </si>
  <si>
    <t xml:space="preserve">Data</t>
  </si>
  <si>
    <t xml:space="preserve">SC-NFR-01</t>
  </si>
  <si>
    <t xml:space="preserve">Non-Functional</t>
  </si>
  <si>
    <t xml:space="preserve">Performance, load, compatibility, accessibility, PWA, API contract</t>
  </si>
  <si>
    <t xml:space="preserve">Technical</t>
  </si>
  <si>
    <t xml:space="preserve">TC ID</t>
  </si>
  <si>
    <t xml:space="preserve">Feature</t>
  </si>
  <si>
    <t xml:space="preserve">Scenario Ref</t>
  </si>
  <si>
    <t xml:space="preserve">Test Case Title</t>
  </si>
  <si>
    <t xml:space="preserve">Type</t>
  </si>
  <si>
    <t xml:space="preserve">Technique</t>
  </si>
  <si>
    <t xml:space="preserve">Priority</t>
  </si>
  <si>
    <t xml:space="preserve">Preconditions</t>
  </si>
  <si>
    <t xml:space="preserve">Test Steps</t>
  </si>
  <si>
    <t xml:space="preserve">Test Data</t>
  </si>
  <si>
    <t xml:space="preserve">Expected Result</t>
  </si>
  <si>
    <t xml:space="preserve">Suite Tags</t>
  </si>
  <si>
    <t xml:space="preserve">Automatable</t>
  </si>
  <si>
    <t xml:space="preserve">Status</t>
  </si>
  <si>
    <t xml:space="preserve">SUMMARY</t>
  </si>
  <si>
    <t xml:space="preserve">TC-AUTH-001</t>
  </si>
  <si>
    <t xml:space="preserve">Customer OTP</t>
  </si>
  <si>
    <t xml:space="preserve">Request OTP with valid Indian phone</t>
  </si>
  <si>
    <t xml:space="preserve">Functional</t>
  </si>
  <si>
    <t xml:space="preserve">P1</t>
  </si>
  <si>
    <t xml:space="preserve">On login screen</t>
  </si>
  <si>
    <t xml:space="preserve">Enter valid 10-digit phone; tap Send OTP</t>
  </si>
  <si>
    <t xml:space="preserve">+919876500001</t>
  </si>
  <si>
    <t xml:space="preserve">OTP sent; demo mode surfaces code in response/log; success toast</t>
  </si>
  <si>
    <t xml:space="preserve">Smoke,Regression,UAT</t>
  </si>
  <si>
    <t xml:space="preserve">Yes</t>
  </si>
  <si>
    <t xml:space="preserve">Not Run</t>
  </si>
  <si>
    <t xml:space="preserve">Total test cases</t>
  </si>
  <si>
    <t xml:space="preserve">TC-AUTH-002</t>
  </si>
  <si>
    <t xml:space="preserve">Verify correct OTP logs in</t>
  </si>
  <si>
    <t xml:space="preserve">OTP requested</t>
  </si>
  <si>
    <t xml:space="preserve">Enter received OTP; submit</t>
  </si>
  <si>
    <t xml:space="preserve">valid OTP</t>
  </si>
  <si>
    <t xml:space="preserve">Session created; routed to customer home</t>
  </si>
  <si>
    <t xml:space="preserve">Smoke,Regression</t>
  </si>
  <si>
    <t xml:space="preserve">P1 (Critical)</t>
  </si>
  <si>
    <t xml:space="preserve">TC-AUTH-003</t>
  </si>
  <si>
    <t xml:space="preserve">Reject incorrect/expired OTP</t>
  </si>
  <si>
    <t xml:space="preserve">Negative</t>
  </si>
  <si>
    <t xml:space="preserve">Enter wrong/expired code</t>
  </si>
  <si>
    <t xml:space="preserve">000000</t>
  </si>
  <si>
    <t xml:space="preserve">Login rejected with clear error; no session</t>
  </si>
  <si>
    <t xml:space="preserve">Regression</t>
  </si>
  <si>
    <t xml:space="preserve">P2 (High)</t>
  </si>
  <si>
    <t xml:space="preserve">TC-AUTH-004</t>
  </si>
  <si>
    <t xml:space="preserve">Enforce OTP rate limit / lockout</t>
  </si>
  <si>
    <t xml:space="preserve">P2</t>
  </si>
  <si>
    <t xml:space="preserve">Request OTP &gt; limit within window</t>
  </si>
  <si>
    <t xml:space="preserve">spam requests</t>
  </si>
  <si>
    <t xml:space="preserve">Further requests throttled; lockout enforced; audited</t>
  </si>
  <si>
    <t xml:space="preserve">Regression,Security</t>
  </si>
  <si>
    <t xml:space="preserve">P3/P4</t>
  </si>
  <si>
    <t xml:space="preserve">TC-AUTH-005</t>
  </si>
  <si>
    <t xml:space="preserve">New phone self-signup grants signup bonus once</t>
  </si>
  <si>
    <t xml:space="preserve">ALLOW_CUSTOMER_SELF_SIGNUP=true</t>
  </si>
  <si>
    <t xml:space="preserve">Login with brand-new phone</t>
  </si>
  <si>
    <t xml:space="preserve">new phone</t>
  </si>
  <si>
    <t xml:space="preserve">User created; signup bonus granted exactly once (phone dedup)</t>
  </si>
  <si>
    <t xml:space="preserve">No</t>
  </si>
  <si>
    <t xml:space="preserve">Security cases</t>
  </si>
  <si>
    <t xml:space="preserve">TC-AUTH-006</t>
  </si>
  <si>
    <t xml:space="preserve">Locked-down mode blocks unknown phone signup</t>
  </si>
  <si>
    <t xml:space="preserve">P3</t>
  </si>
  <si>
    <t xml:space="preserve">ALLOW_CUSTOMER_SELF_SIGNUP=false</t>
  </si>
  <si>
    <t xml:space="preserve">Login with unregistered phone (valid OTP)</t>
  </si>
  <si>
    <t xml:space="preserve">Login refused; auth.login.unregistered audited</t>
  </si>
  <si>
    <t xml:space="preserve">Database cases</t>
  </si>
  <si>
    <t xml:space="preserve">TC-AUTH-007</t>
  </si>
  <si>
    <t xml:space="preserve">Google OAuth</t>
  </si>
  <si>
    <t xml:space="preserve">Customer Google sign-in provisions/links account</t>
  </si>
  <si>
    <t xml:space="preserve">Google creds configured</t>
  </si>
  <si>
    <t xml:space="preserve">Sign in with Google</t>
  </si>
  <si>
    <t xml:space="preserve">google account</t>
  </si>
  <si>
    <t xml:space="preserve">Existing role kept / new = CUSTOMER; session created</t>
  </si>
  <si>
    <t xml:space="preserve">Smoke-tagged</t>
  </si>
  <si>
    <t xml:space="preserve">TC-AUTH-008</t>
  </si>
  <si>
    <t xml:space="preserve">Staff Login</t>
  </si>
  <si>
    <t xml:space="preserve">Admin email+password login routes to /admin</t>
  </si>
  <si>
    <t xml:space="preserve">Admin user exists</t>
  </si>
  <si>
    <t xml:space="preserve">Login email+password</t>
  </si>
  <si>
    <t xml:space="preserve">admin@restaurant.local</t>
  </si>
  <si>
    <t xml:space="preserve">Authenticated; lands on /admin</t>
  </si>
  <si>
    <t xml:space="preserve">Regression-tagged</t>
  </si>
  <si>
    <t xml:space="preserve">TC-AUTH-009</t>
  </si>
  <si>
    <t xml:space="preserve">Kitchen user routes to kitchen panel</t>
  </si>
  <si>
    <t xml:space="preserve">Kitchen user exists</t>
  </si>
  <si>
    <t xml:space="preserve">Login</t>
  </si>
  <si>
    <t xml:space="preserve">kitchen creds</t>
  </si>
  <si>
    <t xml:space="preserve">Lands on kitchen console</t>
  </si>
  <si>
    <t xml:space="preserve">Automatable (Yes)</t>
  </si>
  <si>
    <t xml:space="preserve">TC-AUTH-010</t>
  </si>
  <si>
    <t xml:space="preserve">Wrong password records failure &amp; lockout</t>
  </si>
  <si>
    <t xml:space="preserve">Staff user exists</t>
  </si>
  <si>
    <t xml:space="preserve">Enter wrong password repeatedly</t>
  </si>
  <si>
    <t xml:space="preserve">bad password</t>
  </si>
  <si>
    <t xml:space="preserve">Rejected; failures recorded; lockout after threshold</t>
  </si>
  <si>
    <t xml:space="preserve">Security,Regression</t>
  </si>
  <si>
    <t xml:space="preserve">TC-AUTH-011</t>
  </si>
  <si>
    <t xml:space="preserve">Super-Admin 2FA</t>
  </si>
  <si>
    <t xml:space="preserve">Super-admin requires valid TOTP</t>
  </si>
  <si>
    <t xml:space="preserve">TOTP secret set</t>
  </si>
  <si>
    <t xml:space="preserve">Login with email+pwd then TOTP</t>
  </si>
  <si>
    <t xml:space="preserve">valid TOTP</t>
  </si>
  <si>
    <t xml:space="preserve">Access only with correct TOTP; invalid rejected</t>
  </si>
  <si>
    <t xml:space="preserve">Security,Smoke</t>
  </si>
  <si>
    <t xml:space="preserve">TC-AUTH-012</t>
  </si>
  <si>
    <t xml:space="preserve">Super-Admin IP</t>
  </si>
  <si>
    <t xml:space="preserve">Super-admin blocked from non-allowlisted IP</t>
  </si>
  <si>
    <t xml:space="preserve">IP allowlist set</t>
  </si>
  <si>
    <t xml:space="preserve">Login from disallowed IP</t>
  </si>
  <si>
    <t xml:space="preserve">off-list IP</t>
  </si>
  <si>
    <t xml:space="preserve">Login refused; ip_not_allowlisted audited</t>
  </si>
  <si>
    <t xml:space="preserve">TC-AUTH-013</t>
  </si>
  <si>
    <t xml:space="preserve">Sessions</t>
  </si>
  <si>
    <t xml:space="preserve">Single active session: new login revokes prior device</t>
  </si>
  <si>
    <t xml:space="preserve">Logged in on device A</t>
  </si>
  <si>
    <t xml:space="preserve">Login same user on device B</t>
  </si>
  <si>
    <t xml:space="preserve">Device A session invalidated; next request → /login</t>
  </si>
  <si>
    <t xml:space="preserve">TC-AUTH-014</t>
  </si>
  <si>
    <t xml:space="preserve">Terminate session from security page</t>
  </si>
  <si>
    <t xml:space="preserve">Active sessions exist</t>
  </si>
  <si>
    <t xml:space="preserve">Terminate a session</t>
  </si>
  <si>
    <t xml:space="preserve">Targeted session revoked; login history reflects it</t>
  </si>
  <si>
    <t xml:space="preserve">TC-AUTH-015</t>
  </si>
  <si>
    <t xml:space="preserve">Suspension</t>
  </si>
  <si>
    <t xml:space="preserve">Suspended customer cannot log in (web)</t>
  </si>
  <si>
    <t xml:space="preserve">User suspended by super-admin</t>
  </si>
  <si>
    <t xml:space="preserve">Attempt OTP login</t>
  </si>
  <si>
    <t xml:space="preserve">suspended phone</t>
  </si>
  <si>
    <t xml:space="preserve">Login blocked; auth.login.failed(reason=suspended)</t>
  </si>
  <si>
    <t xml:space="preserve">TC-AUTH-016</t>
  </si>
  <si>
    <t xml:space="preserve">Suspended rider blocked on Bearer path</t>
  </si>
  <si>
    <t xml:space="preserve">Rider suspended</t>
  </si>
  <si>
    <t xml:space="preserve">Call /api/rider/* with valid token</t>
  </si>
  <si>
    <t xml:space="preserve">valid token</t>
  </si>
  <si>
    <t xml:space="preserve">403; token rejected on every request; re-login blocked</t>
  </si>
  <si>
    <t xml:space="preserve">TC-AUTH-017</t>
  </si>
  <si>
    <t xml:space="preserve">Reinstate restores access</t>
  </si>
  <si>
    <t xml:space="preserve">User suspended</t>
  </si>
  <si>
    <t xml:space="preserve">Reinstate via Users drawer; user logs in</t>
  </si>
  <si>
    <t xml:space="preserve">Login succeeds; suspendedAt cleared; audited</t>
  </si>
  <si>
    <t xml:space="preserve">TC-AUTH-018</t>
  </si>
  <si>
    <t xml:space="preserve">Rider Token</t>
  </si>
  <si>
    <t xml:space="preserve">Expired/invalid rider token bounces to login</t>
  </si>
  <si>
    <t xml:space="preserve">Token expired</t>
  </si>
  <si>
    <t xml:space="preserve">Open rider app with stale token</t>
  </si>
  <si>
    <t xml:space="preserve">expired JWT</t>
  </si>
  <si>
    <t xml:space="preserve">me() 403 → auto sign-out → login screen</t>
  </si>
  <si>
    <t xml:space="preserve">TC-WEB-019</t>
  </si>
  <si>
    <t xml:space="preserve">Customer Web</t>
  </si>
  <si>
    <t xml:space="preserve">Storefront loads with banner/cover hero</t>
  </si>
  <si>
    <t xml:space="preserve">Active restaurant</t>
  </si>
  <si>
    <t xml:space="preserve">Open /r/&lt;slug&gt;</t>
  </si>
  <si>
    <t xml:space="preserve">bowl-and-barbeque</t>
  </si>
  <si>
    <t xml:space="preserve">Hero (carousel if banners present, else cover) renders; no broken image/404</t>
  </si>
  <si>
    <t xml:space="preserve">TC-WEB-020</t>
  </si>
  <si>
    <t xml:space="preserve">Categories, search &amp; 'What's on your mind' work</t>
  </si>
  <si>
    <t xml:space="preserve">Menu seeded</t>
  </si>
  <si>
    <t xml:space="preserve">Browse categories; search dish</t>
  </si>
  <si>
    <t xml:space="preserve">'biryani'</t>
  </si>
  <si>
    <t xml:space="preserve">Correct items filtered; sections render</t>
  </si>
  <si>
    <t xml:space="preserve">TC-WEB-021</t>
  </si>
  <si>
    <t xml:space="preserve">Scheduled category hidden/disabled outside window</t>
  </si>
  <si>
    <t xml:space="preserve">Category schedule set</t>
  </si>
  <si>
    <t xml:space="preserve">View menu outside schedule</t>
  </si>
  <si>
    <t xml:space="preserve">Category hidden/disabled per config</t>
  </si>
  <si>
    <t xml:space="preserve">TC-WEB-022</t>
  </si>
  <si>
    <t xml:space="preserve">Happy-hour price shows strike-through</t>
  </si>
  <si>
    <t xml:space="preserve">Active happy hour</t>
  </si>
  <si>
    <t xml:space="preserve">View item during HH window</t>
  </si>
  <si>
    <t xml:space="preserve">Discounted price + original struck-through + banner</t>
  </si>
  <si>
    <t xml:space="preserve">TC-OFR-023</t>
  </si>
  <si>
    <t xml:space="preserve">Offers</t>
  </si>
  <si>
    <t xml:space="preserve">BOGO</t>
  </si>
  <si>
    <t xml:space="preserve">Buy-X-Get-Y auto-applies correctly</t>
  </si>
  <si>
    <t xml:space="preserve">Active BOGO offer</t>
  </si>
  <si>
    <t xml:space="preserve">Add qualifying items to cart</t>
  </si>
  <si>
    <t xml:space="preserve">2x item A</t>
  </si>
  <si>
    <t xml:space="preserve">Free/discounted item Y applied; total correct</t>
  </si>
  <si>
    <t xml:space="preserve">Regression,UAT</t>
  </si>
  <si>
    <t xml:space="preserve">TC-OFR-024</t>
  </si>
  <si>
    <t xml:space="preserve">Category-based &amp; fixed-amount BOGO variants</t>
  </si>
  <si>
    <t xml:space="preserve">BOGO configured by category/fixed</t>
  </si>
  <si>
    <t xml:space="preserve">Add items meeting rule</t>
  </si>
  <si>
    <t xml:space="preserve">Correct reward computed per variant</t>
  </si>
  <si>
    <t xml:space="preserve">TC-OFR-025</t>
  </si>
  <si>
    <t xml:space="preserve">BOGO gates: fulfillment &amp; day/time window</t>
  </si>
  <si>
    <t xml:space="preserve">BOGO with fulfillment+schedule gate</t>
  </si>
  <si>
    <t xml:space="preserve">Test inside/outside window &amp; wrong fulfillment</t>
  </si>
  <si>
    <t xml:space="preserve">Applied only when all gates pass</t>
  </si>
  <si>
    <t xml:space="preserve">TC-OFR-026</t>
  </si>
  <si>
    <t xml:space="preserve">Coupons</t>
  </si>
  <si>
    <t xml:space="preserve">Valid coupon applies; invalid/expired rejected</t>
  </si>
  <si>
    <t xml:space="preserve">Coupon exists</t>
  </si>
  <si>
    <t xml:space="preserve">Apply valid then invalid code</t>
  </si>
  <si>
    <t xml:space="preserve">SAVE50 / FAKE</t>
  </si>
  <si>
    <t xml:space="preserve">Valid discounts; invalid shows error</t>
  </si>
  <si>
    <t xml:space="preserve">TC-OFR-027</t>
  </si>
  <si>
    <t xml:space="preserve">Coupon is branch-aware</t>
  </si>
  <si>
    <t xml:space="preserve">Coupon scoped to branch</t>
  </si>
  <si>
    <t xml:space="preserve">Apply in wrong branch cart</t>
  </si>
  <si>
    <t xml:space="preserve">Rejected for non-matching branch</t>
  </si>
  <si>
    <t xml:space="preserve">TC-OFR-028</t>
  </si>
  <si>
    <t xml:space="preserve">Freebies</t>
  </si>
  <si>
    <t xml:space="preserve">Freebie auto-granted at threshold; stock respected</t>
  </si>
  <si>
    <t xml:space="preserve">Freebie rule active</t>
  </si>
  <si>
    <t xml:space="preserve">Reach threshold; exhaust stock</t>
  </si>
  <si>
    <t xml:space="preserve">Freebie added; blocked when stock 0; restored on cancel</t>
  </si>
  <si>
    <t xml:space="preserve">TC-OFR-029</t>
  </si>
  <si>
    <t xml:space="preserve">Combos</t>
  </si>
  <si>
    <t xml:space="preserve">Combo adds component items + KOT breakdown</t>
  </si>
  <si>
    <t xml:space="preserve">Combo configured</t>
  </si>
  <si>
    <t xml:space="preserve">Add combo to cart &amp; order</t>
  </si>
  <si>
    <t xml:space="preserve">Combo priced once; KOT lists components; inventory respected</t>
  </si>
  <si>
    <t xml:space="preserve">TC-OFR-030</t>
  </si>
  <si>
    <t xml:space="preserve">Best-offer</t>
  </si>
  <si>
    <t xml:space="preserve">Engine picks best eligible offer (no double-dip beyond rules)</t>
  </si>
  <si>
    <t xml:space="preserve">Multiple offers eligible</t>
  </si>
  <si>
    <t xml:space="preserve">Build qualifying cart</t>
  </si>
  <si>
    <t xml:space="preserve">Best/most-valuable valid combination applied; totals exact</t>
  </si>
  <si>
    <t xml:space="preserve">TC-OFR-031</t>
  </si>
  <si>
    <t xml:space="preserve">Signup Bonus</t>
  </si>
  <si>
    <t xml:space="preserve">Signup bonus applied/held/consumed/restored</t>
  </si>
  <si>
    <t xml:space="preserve">New customer w/ bonus</t>
  </si>
  <si>
    <t xml:space="preserve">Place then cancel order</t>
  </si>
  <si>
    <t xml:space="preserve">Hold on place, consume on deliver, restore on cancel/refund</t>
  </si>
  <si>
    <t xml:space="preserve">TC-OFR-032</t>
  </si>
  <si>
    <t xml:space="preserve">Wallet</t>
  </si>
  <si>
    <t xml:space="preserve">Wallet balance redeemable at checkout</t>
  </si>
  <si>
    <t xml:space="preserve">Wallet has balance</t>
  </si>
  <si>
    <t xml:space="preserve">Apply wallet to order</t>
  </si>
  <si>
    <t xml:space="preserve">₹100 balance</t>
  </si>
  <si>
    <t xml:space="preserve">Wallet debited; total reduced; ledger entry</t>
  </si>
  <si>
    <t xml:space="preserve">TC-OFR-033</t>
  </si>
  <si>
    <t xml:space="preserve">Loyalty</t>
  </si>
  <si>
    <t xml:space="preserve">Loyalty points earned on delivery (5pt/₹100)</t>
  </si>
  <si>
    <t xml:space="preserve">Customer w/ account</t>
  </si>
  <si>
    <t xml:space="preserve">Complete a delivered order</t>
  </si>
  <si>
    <t xml:space="preserve">subtotal ₹500</t>
  </si>
  <si>
    <t xml:space="preserve">25 points earned; ledger updated</t>
  </si>
  <si>
    <t xml:space="preserve">TC-OFR-034</t>
  </si>
  <si>
    <t xml:space="preserve">Cart UX</t>
  </si>
  <si>
    <t xml:space="preserve">Savings celebration fires on desktop &amp; mobile</t>
  </si>
  <si>
    <t xml:space="preserve">Offer applied</t>
  </si>
  <si>
    <t xml:space="preserve">Apply offer on desktop and mobile</t>
  </si>
  <si>
    <t xml:space="preserve">Celebration shows once on both; max savings shown</t>
  </si>
  <si>
    <t xml:space="preserve">TC-OFR-035</t>
  </si>
  <si>
    <t xml:space="preserve">Cross-sell</t>
  </si>
  <si>
    <t xml:space="preserve">Cross-sell suggestions appear grouped</t>
  </si>
  <si>
    <t xml:space="preserve">Cross-sell configured</t>
  </si>
  <si>
    <t xml:space="preserve">Open cart/menu</t>
  </si>
  <si>
    <t xml:space="preserve">Relevant grouped suggestions shown</t>
  </si>
  <si>
    <t xml:space="preserve">TC-CHK-036</t>
  </si>
  <si>
    <t xml:space="preserve">Delivery</t>
  </si>
  <si>
    <t xml:space="preserve">Place DELIVERY order with saved address</t>
  </si>
  <si>
    <t xml:space="preserve">Items in cart; address saved</t>
  </si>
  <si>
    <t xml:space="preserve">Select delivery; place order</t>
  </si>
  <si>
    <t xml:space="preserve">Guntur address</t>
  </si>
  <si>
    <t xml:space="preserve">Order placed; delivery fee + packaging fee applied; delivery OTP issued</t>
  </si>
  <si>
    <t xml:space="preserve">TC-CHK-037</t>
  </si>
  <si>
    <t xml:space="preserve">Pickup</t>
  </si>
  <si>
    <t xml:space="preserve">Place PICKUP order issues pickup code</t>
  </si>
  <si>
    <t xml:space="preserve">Pickup enabled</t>
  </si>
  <si>
    <t xml:space="preserve">Select pickup; place order</t>
  </si>
  <si>
    <t xml:space="preserve">No rider dispatch; pickup code generated</t>
  </si>
  <si>
    <t xml:space="preserve">TC-CHK-038</t>
  </si>
  <si>
    <t xml:space="preserve">Dine-in</t>
  </si>
  <si>
    <t xml:space="preserve">Place DINE-IN order (table)</t>
  </si>
  <si>
    <t xml:space="preserve">Dine-in enabled</t>
  </si>
  <si>
    <t xml:space="preserve">Select dine-in; place</t>
  </si>
  <si>
    <t xml:space="preserve">table no.</t>
  </si>
  <si>
    <t xml:space="preserve">Served-in-house flow; no delivery leg</t>
  </si>
  <si>
    <t xml:space="preserve">TC-CHK-039</t>
  </si>
  <si>
    <t xml:space="preserve">Scheduled</t>
  </si>
  <si>
    <t xml:space="preserve">Schedule order for future slot</t>
  </si>
  <si>
    <t xml:space="preserve">Scheduling enabled</t>
  </si>
  <si>
    <t xml:space="preserve">Pick future slot; place</t>
  </si>
  <si>
    <t xml:space="preserve">+2h</t>
  </si>
  <si>
    <t xml:space="preserve">Order scheduled; processed at time</t>
  </si>
  <si>
    <t xml:space="preserve">TC-CHK-040</t>
  </si>
  <si>
    <t xml:space="preserve">Charges</t>
  </si>
  <si>
    <t xml:space="preserve">Charges breakdown correct (subtotal,tax,delivery,packaging,discount)</t>
  </si>
  <si>
    <t xml:space="preserve">Cart with discounts</t>
  </si>
  <si>
    <t xml:space="preserve">Open charges breakdown</t>
  </si>
  <si>
    <t xml:space="preserve">All line items + total mathematically correct</t>
  </si>
  <si>
    <t xml:space="preserve">TC-CHK-041</t>
  </si>
  <si>
    <t xml:space="preserve">Address</t>
  </si>
  <si>
    <t xml:space="preserve">Add/select address via map picker; cross-device consistency</t>
  </si>
  <si>
    <t xml:space="preserve">Logged in</t>
  </si>
  <si>
    <t xml:space="preserve">Add address on device A; open device B</t>
  </si>
  <si>
    <t xml:space="preserve">Address consistent across devices</t>
  </si>
  <si>
    <t xml:space="preserve">TC-RES-042</t>
  </si>
  <si>
    <t xml:space="preserve">Booking</t>
  </si>
  <si>
    <t xml:space="preserve">Create table reservation; overlap prevented</t>
  </si>
  <si>
    <t xml:space="preserve">Reservations enabled</t>
  </si>
  <si>
    <t xml:space="preserve">Book slot; attempt overlapping</t>
  </si>
  <si>
    <t xml:space="preserve">Booking confirmed; overlap rejected</t>
  </si>
  <si>
    <t xml:space="preserve">TC-CHK-043</t>
  </si>
  <si>
    <t xml:space="preserve">Block checkout on empty cart / closed restaurant / paused branch</t>
  </si>
  <si>
    <t xml:space="preserve">Attempt checkout in each state</t>
  </si>
  <si>
    <t xml:space="preserve">Clear blocking message; no order created</t>
  </si>
  <si>
    <t xml:space="preserve">TC-PAY-044</t>
  </si>
  <si>
    <t xml:space="preserve">Razorpay</t>
  </si>
  <si>
    <t xml:space="preserve">Online payment success captures order</t>
  </si>
  <si>
    <t xml:space="preserve">Razorpay configured</t>
  </si>
  <si>
    <t xml:space="preserve">Pay via gateway</t>
  </si>
  <si>
    <t xml:space="preserve">test card</t>
  </si>
  <si>
    <t xml:space="preserve">Payment CAPTURED; order → RECEIVED</t>
  </si>
  <si>
    <t xml:space="preserve">TC-PAY-045</t>
  </si>
  <si>
    <t xml:space="preserve">Payment failure → PAYMENT_FAILED, no order confirmation</t>
  </si>
  <si>
    <t xml:space="preserve">Force payment failure</t>
  </si>
  <si>
    <t xml:space="preserve">fail card</t>
  </si>
  <si>
    <t xml:space="preserve">Order not confirmed; user can retry</t>
  </si>
  <si>
    <t xml:space="preserve">TC-PAY-046</t>
  </si>
  <si>
    <t xml:space="preserve">Webhook</t>
  </si>
  <si>
    <t xml:space="preserve">Webhook signature verified; replay/idempotent</t>
  </si>
  <si>
    <t xml:space="preserve">Webhook endpoint live</t>
  </si>
  <si>
    <t xml:space="preserve">Send valid, tampered, duplicate webhook</t>
  </si>
  <si>
    <t xml:space="preserve">signed payloads</t>
  </si>
  <si>
    <t xml:space="preserve">Valid accepted once; tampered rejected; duplicates idempotent</t>
  </si>
  <si>
    <t xml:space="preserve">TC-PAY-047</t>
  </si>
  <si>
    <t xml:space="preserve">COD order placed without prepayment</t>
  </si>
  <si>
    <t xml:space="preserve">COD enabled</t>
  </si>
  <si>
    <t xml:space="preserve">Place COD order</t>
  </si>
  <si>
    <t xml:space="preserve">Order RECEIVED; COD flagged</t>
  </si>
  <si>
    <t xml:space="preserve">TC-PAY-048</t>
  </si>
  <si>
    <t xml:space="preserve">COD reconciliation by rider/admin</t>
  </si>
  <si>
    <t xml:space="preserve">Delivered COD orders</t>
  </si>
  <si>
    <t xml:space="preserve">Reconcile cash collected</t>
  </si>
  <si>
    <t xml:space="preserve">₹450</t>
  </si>
  <si>
    <t xml:space="preserve">Balances match; collection recorded; audited</t>
  </si>
  <si>
    <t xml:space="preserve">TC-PAY-049</t>
  </si>
  <si>
    <t xml:space="preserve">Refund</t>
  </si>
  <si>
    <t xml:space="preserve">Refund defaults to customer WALLET</t>
  </si>
  <si>
    <t xml:space="preserve">Refundable order</t>
  </si>
  <si>
    <t xml:space="preserve">Issue refund (default)</t>
  </si>
  <si>
    <t xml:space="preserve">₹200</t>
  </si>
  <si>
    <t xml:space="preserve">Wallet credited + WalletTransaction(REFUND); Refund(dest=WALLET,COMPLETED)</t>
  </si>
  <si>
    <t xml:space="preserve">TC-PAY-050</t>
  </si>
  <si>
    <t xml:space="preserve">Admin opts refund to ORIGINAL payment method</t>
  </si>
  <si>
    <t xml:space="preserve">Captured online payment</t>
  </si>
  <si>
    <t xml:space="preserve">Choose original-method refund</t>
  </si>
  <si>
    <t xml:space="preserve">full amount</t>
  </si>
  <si>
    <t xml:space="preserve">Gateway refund recorded; payment→REFUNDED on full</t>
  </si>
  <si>
    <t xml:space="preserve">TC-PAY-051</t>
  </si>
  <si>
    <t xml:space="preserve">Cumulative refunds capped at order total</t>
  </si>
  <si>
    <t xml:space="preserve">Partial refund done</t>
  </si>
  <si>
    <t xml:space="preserve">Refund &gt; remaining</t>
  </si>
  <si>
    <t xml:space="preserve">over-amount</t>
  </si>
  <si>
    <t xml:space="preserve">Rejected with remaining-balance error</t>
  </si>
  <si>
    <t xml:space="preserve">TC-PAY-052</t>
  </si>
  <si>
    <t xml:space="preserve">Wallet refund works for COD (no captured payment)</t>
  </si>
  <si>
    <t xml:space="preserve">Delivered COD order</t>
  </si>
  <si>
    <t xml:space="preserve">Refund to wallet</t>
  </si>
  <si>
    <t xml:space="preserve">Refund recorded with null paymentId; wallet credited</t>
  </si>
  <si>
    <t xml:space="preserve">TC-ORD-053</t>
  </si>
  <si>
    <t xml:space="preserve">New order appears on kitchen RECEIVED column; accept</t>
  </si>
  <si>
    <t xml:space="preserve">Order placed</t>
  </si>
  <si>
    <t xml:space="preserve">Accept on kitchen panel</t>
  </si>
  <si>
    <t xml:space="preserve">Order → ACCEPTED; reflected realtime</t>
  </si>
  <si>
    <t xml:space="preserve">TC-ORD-054</t>
  </si>
  <si>
    <t xml:space="preserve">Transitions</t>
  </si>
  <si>
    <t xml:space="preserve">State machine enforces valid transitions only</t>
  </si>
  <si>
    <t xml:space="preserve">Order in a state</t>
  </si>
  <si>
    <t xml:space="preserve">Attempt valid + invalid transitions</t>
  </si>
  <si>
    <t xml:space="preserve">Valid allowed; invalid rejected (state machine)</t>
  </si>
  <si>
    <t xml:space="preserve">TC-ORD-055</t>
  </si>
  <si>
    <t xml:space="preserve">Status change syncs to customer/admin/kitchen/super-admin</t>
  </si>
  <si>
    <t xml:space="preserve">Order active; multiple viewers</t>
  </si>
  <si>
    <t xml:space="preserve">Transition order</t>
  </si>
  <si>
    <t xml:space="preserve">All subscribed views update &lt; 3s via SSE; polling fallback works</t>
  </si>
  <si>
    <t xml:space="preserve">TC-ORD-056</t>
  </si>
  <si>
    <t xml:space="preserve">Group channel updates parent unified board</t>
  </si>
  <si>
    <t xml:space="preserve">Group restaurant</t>
  </si>
  <si>
    <t xml:space="preserve">Child order changes</t>
  </si>
  <si>
    <t xml:space="preserve">Parent board reflects child order</t>
  </si>
  <si>
    <t xml:space="preserve">TC-ORD-057</t>
  </si>
  <si>
    <t xml:space="preserve">Escalation</t>
  </si>
  <si>
    <t xml:space="preserve">No-rider / not-accepted escalations raised</t>
  </si>
  <si>
    <t xml:space="preserve">READY order unclaimed</t>
  </si>
  <si>
    <t xml:space="preserve">Wait past threshold</t>
  </si>
  <si>
    <t xml:space="preserve">Escalation row created (NO_RIDER_AVAILABLE/ORDER_NOT_ACCEPTED)</t>
  </si>
  <si>
    <t xml:space="preserve">TC-RID-058</t>
  </si>
  <si>
    <t xml:space="preserve">Rider OTP login issues Bearer token</t>
  </si>
  <si>
    <t xml:space="preserve">Approved rider</t>
  </si>
  <si>
    <t xml:space="preserve">Phone → OTP → verify</t>
  </si>
  <si>
    <t xml:space="preserve">+919876500011</t>
  </si>
  <si>
    <t xml:space="preserve">Token stored; dashboard loads</t>
  </si>
  <si>
    <t xml:space="preserve">TC-RID-059</t>
  </si>
  <si>
    <t xml:space="preserve">Online</t>
  </si>
  <si>
    <t xml:space="preserve">Toggle online/offline updates status &amp; heartbeat</t>
  </si>
  <si>
    <t xml:space="preserve">Logged in rider</t>
  </si>
  <si>
    <t xml:space="preserve">Toggle online</t>
  </si>
  <si>
    <t xml:space="preserve">isOnline true; heartbeat pings; pool watch starts</t>
  </si>
  <si>
    <t xml:space="preserve">TC-RID-060</t>
  </si>
  <si>
    <t xml:space="preserve">Pool</t>
  </si>
  <si>
    <t xml:space="preserve">Online rider sees eligible pool orders</t>
  </si>
  <si>
    <t xml:space="preserve">READY orders exist</t>
  </si>
  <si>
    <t xml:space="preserve">Open pool</t>
  </si>
  <si>
    <t xml:space="preserve">Eligible orders listed (respecting dedicated/fleet policy)</t>
  </si>
  <si>
    <t xml:space="preserve">TC-RID-061</t>
  </si>
  <si>
    <t xml:space="preserve">Claim</t>
  </si>
  <si>
    <t xml:space="preserve">Claim order is atomic (no double-claim)</t>
  </si>
  <si>
    <t xml:space="preserve">Order in pool</t>
  </si>
  <si>
    <t xml:space="preserve">Two riders claim same order</t>
  </si>
  <si>
    <t xml:space="preserve">One succeeds; other gets 409</t>
  </si>
  <si>
    <t xml:space="preserve">TC-RID-062</t>
  </si>
  <si>
    <t xml:space="preserve">Mark picked up → OUT_FOR_DELIVERY</t>
  </si>
  <si>
    <t xml:space="preserve">Claimed order</t>
  </si>
  <si>
    <t xml:space="preserve">Tap picked up</t>
  </si>
  <si>
    <t xml:space="preserve">Order transitions; customer notified (delivery OTP SMS)</t>
  </si>
  <si>
    <t xml:space="preserve">TC-RID-063</t>
  </si>
  <si>
    <t xml:space="preserve">Deliver</t>
  </si>
  <si>
    <t xml:space="preserve">Deliver requires correct OTP (normalized)</t>
  </si>
  <si>
    <t xml:space="preserve">Out for delivery</t>
  </si>
  <si>
    <t xml:space="preserve">Enter delivery OTP (with spaces/bullets)</t>
  </si>
  <si>
    <t xml:space="preserve">Verified despite formatting; DELIVERED; earnings credited</t>
  </si>
  <si>
    <t xml:space="preserve">TC-RID-064</t>
  </si>
  <si>
    <t xml:space="preserve">Wrong/short/missing OTP rejected with clear message</t>
  </si>
  <si>
    <t xml:space="preserve">Enter wrong/short code</t>
  </si>
  <si>
    <t xml:space="preserve">000</t>
  </si>
  <si>
    <t xml:space="preserve">Rejected; non-PII log; no delivery</t>
  </si>
  <si>
    <t xml:space="preserve">TC-RID-065</t>
  </si>
  <si>
    <t xml:space="preserve">GPS</t>
  </si>
  <si>
    <t xml:space="preserve">Live GPS pings to customer/admin/super-admin maps</t>
  </si>
  <si>
    <t xml:space="preserve">Online rider on trip</t>
  </si>
  <si>
    <t xml:space="preserve">Move device</t>
  </si>
  <si>
    <t xml:space="preserve">coords</t>
  </si>
  <si>
    <t xml:space="preserve">Marker updates on all maps; lat/lng persisted</t>
  </si>
  <si>
    <t xml:space="preserve">TC-RID-066</t>
  </si>
  <si>
    <t xml:space="preserve">Earnings</t>
  </si>
  <si>
    <t xml:space="preserve">Earnings + available balance computed correctly</t>
  </si>
  <si>
    <t xml:space="preserve">Delivered orders</t>
  </si>
  <si>
    <t xml:space="preserve">Open earnings</t>
  </si>
  <si>
    <t xml:space="preserve">Lifetime − paid/pending = available (never negative)</t>
  </si>
  <si>
    <t xml:space="preserve">TC-RID-067</t>
  </si>
  <si>
    <t xml:space="preserve">Payout</t>
  </si>
  <si>
    <t xml:space="preserve">Request payout (UPI/Bank)</t>
  </si>
  <si>
    <t xml:space="preserve">Balance available</t>
  </si>
  <si>
    <t xml:space="preserve">Request payout</t>
  </si>
  <si>
    <t xml:space="preserve">UPI id</t>
  </si>
  <si>
    <t xml:space="preserve">Payout REQUESTED; reflected in balance</t>
  </si>
  <si>
    <t xml:space="preserve">TC-RID-068</t>
  </si>
  <si>
    <t xml:space="preserve">KYC</t>
  </si>
  <si>
    <t xml:space="preserve">Upload KYC docs; view status</t>
  </si>
  <si>
    <t xml:space="preserve">Upload Aadhaar/DL/Insurance</t>
  </si>
  <si>
    <t xml:space="preserve">images/pdf</t>
  </si>
  <si>
    <t xml:space="preserve">Docs uploaded; status pending→approved on review</t>
  </si>
  <si>
    <t xml:space="preserve">TC-RID-069</t>
  </si>
  <si>
    <t xml:space="preserve">Pay Engine</t>
  </si>
  <si>
    <t xml:space="preserve">Surge multiplier applied on delivery point</t>
  </si>
  <si>
    <t xml:space="preserve">Active surge zone covering drop</t>
  </si>
  <si>
    <t xml:space="preserve">Deliver in surge zone</t>
  </si>
  <si>
    <t xml:space="preserve">Surge bonus added to core pay; never docks below base</t>
  </si>
  <si>
    <t xml:space="preserve">TC-RID-070</t>
  </si>
  <si>
    <t xml:space="preserve">Tier surge-share scales surge uplift (BRONZE..PLATINUM)</t>
  </si>
  <si>
    <t xml:space="preserve">Rider tier set</t>
  </si>
  <si>
    <t xml:space="preserve">Deliver in surge for each tier</t>
  </si>
  <si>
    <t xml:space="preserve">Higher tier keeps more surge (0/5/12/20%)</t>
  </si>
  <si>
    <t xml:space="preserve">TC-RID-071</t>
  </si>
  <si>
    <t xml:space="preserve">Incentive bonus paid once on target hit</t>
  </si>
  <si>
    <t xml:space="preserve">Active incentive slab</t>
  </si>
  <si>
    <t xml:space="preserve">Complete target deliveries</t>
  </si>
  <si>
    <t xml:space="preserve">Bonus credited exactly once (bonusPaid guard); audited</t>
  </si>
  <si>
    <t xml:space="preserve">TC-RID-072</t>
  </si>
  <si>
    <t xml:space="preserve">Batch invitation accept/decline</t>
  </si>
  <si>
    <t xml:space="preserve">Batch invite sent</t>
  </si>
  <si>
    <t xml:space="preserve">Accept then test decline</t>
  </si>
  <si>
    <t xml:space="preserve">Accept → OFD + siblings cancelled; decline frees order</t>
  </si>
  <si>
    <t xml:space="preserve">TC-RID-073</t>
  </si>
  <si>
    <t xml:space="preserve">Dedicated vs fleet claim rules enforced</t>
  </si>
  <si>
    <t xml:space="preserve">DEDICATED_FIRST restaurant</t>
  </si>
  <si>
    <t xml:space="preserve">Fleet rider claims dedicated-only order early</t>
  </si>
  <si>
    <t xml:space="preserve">Blocked until fallback window; dedicated allowed</t>
  </si>
  <si>
    <t xml:space="preserve">TC-RID-074</t>
  </si>
  <si>
    <t xml:space="preserve">SOS triggers alert with location</t>
  </si>
  <si>
    <t xml:space="preserve">On trip</t>
  </si>
  <si>
    <t xml:space="preserve">Trigger SOS</t>
  </si>
  <si>
    <t xml:space="preserve">SOS ACTIVE w/ lat/lng; support/contacts notified</t>
  </si>
  <si>
    <t xml:space="preserve">TC-RID-075</t>
  </si>
  <si>
    <t xml:space="preserve">Incident log + emergency contacts</t>
  </si>
  <si>
    <t xml:space="preserve">Add contact; log incident</t>
  </si>
  <si>
    <t xml:space="preserve">Stored; primary contact flagged</t>
  </si>
  <si>
    <t xml:space="preserve">TC-RID-076</t>
  </si>
  <si>
    <t xml:space="preserve">Messaging</t>
  </si>
  <si>
    <t xml:space="preserve">Rider↔admin/super-admin chat bidirectional</t>
  </si>
  <si>
    <t xml:space="preserve">Conversation exists</t>
  </si>
  <si>
    <t xml:space="preserve">Send from rider &amp; staff</t>
  </si>
  <si>
    <t xml:space="preserve">Messages appear both sides (~4s poll)</t>
  </si>
  <si>
    <t xml:space="preserve">TC-RID-077</t>
  </si>
  <si>
    <t xml:space="preserve">Referrals</t>
  </si>
  <si>
    <t xml:space="preserve">Rider referral code shown; lifecycle advances</t>
  </si>
  <si>
    <t xml:space="preserve">Rider profile</t>
  </si>
  <si>
    <t xml:space="preserve">View code; admin advances status</t>
  </si>
  <si>
    <t xml:space="preserve">PENDING→SIGNED_UP→QUALIFIED→REWARDED; bonus paid once</t>
  </si>
  <si>
    <t xml:space="preserve">TC-RID-078</t>
  </si>
  <si>
    <t xml:space="preserve">Branding</t>
  </si>
  <si>
    <t xml:space="preserve">App shows Flavrly name + icon; talks to flavrly.in</t>
  </si>
  <si>
    <t xml:space="preserve">New APK installed</t>
  </si>
  <si>
    <t xml:space="preserve">Launch app</t>
  </si>
  <si>
    <t xml:space="preserve">Label 'Flavrly', F. icon, requests to https://flavrly.in</t>
  </si>
  <si>
    <t xml:space="preserve">TC-ADM-079</t>
  </si>
  <si>
    <t xml:space="preserve">Orders Board</t>
  </si>
  <si>
    <t xml:space="preserve">Admin orders board live + actions</t>
  </si>
  <si>
    <t xml:space="preserve">Orders exist</t>
  </si>
  <si>
    <t xml:space="preserve">Open board; act on order</t>
  </si>
  <si>
    <t xml:space="preserve">Realtime updates; actions transition correctly</t>
  </si>
  <si>
    <t xml:space="preserve">TC-ADM-080</t>
  </si>
  <si>
    <t xml:space="preserve">Menu</t>
  </si>
  <si>
    <t xml:space="preserve">Menu item CRUD + image upload</t>
  </si>
  <si>
    <t xml:space="preserve">Admin logged in</t>
  </si>
  <si>
    <t xml:space="preserve">Create/edit/delete item; upload image</t>
  </si>
  <si>
    <t xml:space="preserve">jpg/png</t>
  </si>
  <si>
    <t xml:space="preserve">Persisted; image via storage adapter; fallback if missing</t>
  </si>
  <si>
    <t xml:space="preserve">TC-ADM-081</t>
  </si>
  <si>
    <t xml:space="preserve">Variants &amp; modifiers price into order</t>
  </si>
  <si>
    <t xml:space="preserve">Item w/ variants/modifiers</t>
  </si>
  <si>
    <t xml:space="preserve">Order with selections</t>
  </si>
  <si>
    <t xml:space="preserve">Selections captured; price = base+variant+modifiers</t>
  </si>
  <si>
    <t xml:space="preserve">TC-ADM-082</t>
  </si>
  <si>
    <t xml:space="preserve">Menu I/O</t>
  </si>
  <si>
    <t xml:space="preserve">CSV/Excel menu import: validate, preview/diff, upsert</t>
  </si>
  <si>
    <t xml:space="preserve">Upload menu file</t>
  </si>
  <si>
    <t xml:space="preserve">sample.xlsx</t>
  </si>
  <si>
    <t xml:space="preserve">Validation errors surfaced; diff preview; clean upsert</t>
  </si>
  <si>
    <t xml:space="preserve">TC-ADM-083</t>
  </si>
  <si>
    <t xml:space="preserve">Create/edit/deactivate offers &amp; happy hours</t>
  </si>
  <si>
    <t xml:space="preserve">Manage promotions</t>
  </si>
  <si>
    <t xml:space="preserve">Lifecycle states correct; audited</t>
  </si>
  <si>
    <t xml:space="preserve">TC-ADM-084</t>
  </si>
  <si>
    <t xml:space="preserve">Branches</t>
  </si>
  <si>
    <t xml:space="preserve">Branch settings incl. packaging fee &amp; location picker</t>
  </si>
  <si>
    <t xml:space="preserve">Edit branch settings</t>
  </si>
  <si>
    <t xml:space="preserve">fee ₹15</t>
  </si>
  <si>
    <t xml:space="preserve">Saved; reflected in customer charges</t>
  </si>
  <si>
    <t xml:space="preserve">TC-ADM-085</t>
  </si>
  <si>
    <t xml:space="preserve">FSSAI</t>
  </si>
  <si>
    <t xml:space="preserve">Food licence fields + expiry banner + alerts</t>
  </si>
  <si>
    <t xml:space="preserve">Branch w/ licence</t>
  </si>
  <si>
    <t xml:space="preserve">Set near-expiry date; run sweep</t>
  </si>
  <si>
    <t xml:space="preserve">exp in 20d</t>
  </si>
  <si>
    <t xml:space="preserve">In-app banner; email+SMS alert (debounced); footer shows FSSAI</t>
  </si>
  <si>
    <t xml:space="preserve">TC-ADM-086</t>
  </si>
  <si>
    <t xml:space="preserve">Parent manages child outlets + shared riders + rollup</t>
  </si>
  <si>
    <t xml:space="preserve">Group configured</t>
  </si>
  <si>
    <t xml:space="preserve">Switch child; view rollup</t>
  </si>
  <si>
    <t xml:space="preserve">Child managed; shared riders; group reports aggregate</t>
  </si>
  <si>
    <t xml:space="preserve">TC-ADM-087</t>
  </si>
  <si>
    <t xml:space="preserve">Reports</t>
  </si>
  <si>
    <t xml:space="preserve">Reports/exports accurate</t>
  </si>
  <si>
    <t xml:space="preserve">Historical data</t>
  </si>
  <si>
    <t xml:space="preserve">Open reports; export</t>
  </si>
  <si>
    <t xml:space="preserve">Figures reconcile with orders; CSV correct</t>
  </si>
  <si>
    <t xml:space="preserve">TC-ADM-088</t>
  </si>
  <si>
    <t xml:space="preserve">Authz</t>
  </si>
  <si>
    <t xml:space="preserve">Admin scoped to own restaurant only</t>
  </si>
  <si>
    <t xml:space="preserve">Two restaurants</t>
  </si>
  <si>
    <t xml:space="preserve">Admin A accesses B's data</t>
  </si>
  <si>
    <t xml:space="preserve">Forbidden / not visible (tenant isolation)</t>
  </si>
  <si>
    <t xml:space="preserve">TC-SUP-089</t>
  </si>
  <si>
    <t xml:space="preserve">Dashboard</t>
  </si>
  <si>
    <t xml:space="preserve">KPI dashboard, trends, leaderboards render</t>
  </si>
  <si>
    <t xml:space="preserve">Data seeded</t>
  </si>
  <si>
    <t xml:space="preserve">Open /platform</t>
  </si>
  <si>
    <t xml:space="preserve">KPIs/charts accurate; no errors</t>
  </si>
  <si>
    <t xml:space="preserve">TC-SUP-090</t>
  </si>
  <si>
    <t xml:space="preserve">Restaurants</t>
  </si>
  <si>
    <t xml:space="preserve">Approve/reject/suspend restaurant; commission edit</t>
  </si>
  <si>
    <t xml:space="preserve">Pending restaurant</t>
  </si>
  <si>
    <t xml:space="preserve">Approve; edit commission</t>
  </si>
  <si>
    <t xml:space="preserve">Status changes; commission saved; audited</t>
  </si>
  <si>
    <t xml:space="preserve">TC-SUP-091</t>
  </si>
  <si>
    <t xml:space="preserve">Brands</t>
  </si>
  <si>
    <t xml:space="preserve">Brand CRUD, assign restaurants, rollup reports</t>
  </si>
  <si>
    <t xml:space="preserve">Brand exists</t>
  </si>
  <si>
    <t xml:space="preserve">Manage brand</t>
  </si>
  <si>
    <t xml:space="preserve">Assignments + cuisine rollups correct</t>
  </si>
  <si>
    <t xml:space="preserve">TC-SUP-092</t>
  </si>
  <si>
    <t xml:space="preserve">Users</t>
  </si>
  <si>
    <t xml:space="preserve">Suspend/reinstate user from drawer</t>
  </si>
  <si>
    <t xml:space="preserve">Customer exists</t>
  </si>
  <si>
    <t xml:space="preserve">Suspend then reinstate</t>
  </si>
  <si>
    <t xml:space="preserve">reason text</t>
  </si>
  <si>
    <t xml:space="preserve">suspendedAt set/cleared; session nulled; audited</t>
  </si>
  <si>
    <t xml:space="preserve">TC-SUP-093</t>
  </si>
  <si>
    <t xml:space="preserve">Wallet credit/debit adjustment audited</t>
  </si>
  <si>
    <t xml:space="preserve">User w/ wallet</t>
  </si>
  <si>
    <t xml:space="preserve">Credit then debit</t>
  </si>
  <si>
    <t xml:space="preserve">±₹100</t>
  </si>
  <si>
    <t xml:space="preserve">Balance changes; WalletTransaction(ADJUSTMENT); cannot go negative; wallet.credit/debit audit</t>
  </si>
  <si>
    <t xml:space="preserve">TC-SUP-094</t>
  </si>
  <si>
    <t xml:space="preserve">Riders</t>
  </si>
  <si>
    <t xml:space="preserve">Approve rider; manual earnings adjust</t>
  </si>
  <si>
    <t xml:space="preserve">Pending rider</t>
  </si>
  <si>
    <t xml:space="preserve">Approve; adjust earnings</t>
  </si>
  <si>
    <t xml:space="preserve">approvedAt set; can claim; audited</t>
  </si>
  <si>
    <t xml:space="preserve">TC-SUP-095</t>
  </si>
  <si>
    <t xml:space="preserve">KYC Review</t>
  </si>
  <si>
    <t xml:space="preserve">Review &amp; approve/reject KYC docs; expiry sweep</t>
  </si>
  <si>
    <t xml:space="preserve">Submitted KYC</t>
  </si>
  <si>
    <t xml:space="preserve">Approve/reject; run expiry sweep</t>
  </si>
  <si>
    <t xml:space="preserve">Status updates; expired→EXPIRED via sweep; audited</t>
  </si>
  <si>
    <t xml:space="preserve">TC-SUP-096</t>
  </si>
  <si>
    <t xml:space="preserve">Payout Rules</t>
  </si>
  <si>
    <t xml:space="preserve">Publish payout rule + per-rider override</t>
  </si>
  <si>
    <t xml:space="preserve">Edit &amp; publish rule; add override</t>
  </si>
  <si>
    <t xml:space="preserve">Active rule applied; override merges; payout.rule.publish audit</t>
  </si>
  <si>
    <t xml:space="preserve">TC-SUP-097</t>
  </si>
  <si>
    <t xml:space="preserve">COD reconciliation, waive, collect</t>
  </si>
  <si>
    <t xml:space="preserve">COD collections</t>
  </si>
  <si>
    <t xml:space="preserve">Collect/reconcile/waive</t>
  </si>
  <si>
    <t xml:space="preserve">Balances correct; cod.* audited</t>
  </si>
  <si>
    <t xml:space="preserve">TC-SUP-098</t>
  </si>
  <si>
    <t xml:space="preserve">Surge</t>
  </si>
  <si>
    <t xml:space="preserve">Create/activate surge zone (geo + window + multiplier)</t>
  </si>
  <si>
    <t xml:space="preserve">Create zone</t>
  </si>
  <si>
    <t xml:space="preserve">center+radius+1.5x</t>
  </si>
  <si>
    <t xml:space="preserve">Zone live; covers drop points; feeds pay engine</t>
  </si>
  <si>
    <t xml:space="preserve">TC-SUP-099</t>
  </si>
  <si>
    <t xml:space="preserve">Tiers/Incentives</t>
  </si>
  <si>
    <t xml:space="preserve">Configure rider tiers &amp; incentive slabs</t>
  </si>
  <si>
    <t xml:space="preserve">Create incentive slab</t>
  </si>
  <si>
    <t xml:space="preserve">DAILY 3→₹50</t>
  </si>
  <si>
    <t xml:space="preserve">Riders see live progress; bonus pays on hit</t>
  </si>
  <si>
    <t xml:space="preserve">TC-SUP-100</t>
  </si>
  <si>
    <t xml:space="preserve">Advance referral lifecycle + pay bonus once</t>
  </si>
  <si>
    <t xml:space="preserve">PENDING referral</t>
  </si>
  <si>
    <t xml:space="preserve">Advance to REWARDED</t>
  </si>
  <si>
    <t xml:space="preserve">Forward-only; bonus credited once; rider.referral.advance audit</t>
  </si>
  <si>
    <t xml:space="preserve">TC-SUP-101</t>
  </si>
  <si>
    <t xml:space="preserve">Issue order refund from Orders drawer</t>
  </si>
  <si>
    <t xml:space="preserve">Refund (wallet default / original)</t>
  </si>
  <si>
    <t xml:space="preserve">Refund recorded; status advances; order.refund audit</t>
  </si>
  <si>
    <t xml:space="preserve">TC-SUP-102</t>
  </si>
  <si>
    <t xml:space="preserve">QR</t>
  </si>
  <si>
    <t xml:space="preserve">Generate &amp; download restaurant/table QR PNG</t>
  </si>
  <si>
    <t xml:space="preserve">Restaurant exists</t>
  </si>
  <si>
    <t xml:space="preserve">Generate QR; download</t>
  </si>
  <si>
    <t xml:space="preserve">Scannable QR PNG; resolves to correct URL</t>
  </si>
  <si>
    <t xml:space="preserve">TC-SUP-103</t>
  </si>
  <si>
    <t xml:space="preserve">Live Tracking</t>
  </si>
  <si>
    <t xml:space="preserve">Live fleet map shows riders &amp; statuses</t>
  </si>
  <si>
    <t xml:space="preserve">Online riders</t>
  </si>
  <si>
    <t xml:space="preserve">Open /platform/live</t>
  </si>
  <si>
    <t xml:space="preserve">Markers + status chips update realtime</t>
  </si>
  <si>
    <t xml:space="preserve">TC-SUP-104</t>
  </si>
  <si>
    <t xml:space="preserve">Support</t>
  </si>
  <si>
    <t xml:space="preserve">Support ticket update audited</t>
  </si>
  <si>
    <t xml:space="preserve">Open ticket</t>
  </si>
  <si>
    <t xml:space="preserve">Change status/assignee/resolution</t>
  </si>
  <si>
    <t xml:space="preserve">Updated; resolvedAt stamped; support.ticket.update audit</t>
  </si>
  <si>
    <t xml:space="preserve">TC-SUP-105</t>
  </si>
  <si>
    <t xml:space="preserve">Rider Shifts</t>
  </si>
  <si>
    <t xml:space="preserve">No-show sweep flips overdue BOOKED→MISSED (IST)</t>
  </si>
  <si>
    <t xml:space="preserve">BOOKED past-start shift</t>
  </si>
  <si>
    <t xml:space="preserve">Run no-show sweep</t>
  </si>
  <si>
    <t xml:space="preserve">Overdue shift→MISSED w/ correct IST math; audited</t>
  </si>
  <si>
    <t xml:space="preserve">TC-SUP-106</t>
  </si>
  <si>
    <t xml:space="preserve">Audit/Obs</t>
  </si>
  <si>
    <t xml:space="preserve">Audit log records sensitive actions; health green</t>
  </si>
  <si>
    <t xml:space="preserve">Actions performed</t>
  </si>
  <si>
    <t xml:space="preserve">Open audit log + observability</t>
  </si>
  <si>
    <t xml:space="preserve">Actions present; /api/system/health ok; errors captured</t>
  </si>
  <si>
    <t xml:space="preserve">TC-SUP-107</t>
  </si>
  <si>
    <t xml:space="preserve">Non-super-admin blocked from /platform/*</t>
  </si>
  <si>
    <t xml:space="preserve">Admin/customer logged in</t>
  </si>
  <si>
    <t xml:space="preserve">Hit /platform routes/APIs</t>
  </si>
  <si>
    <t xml:space="preserve">403/redirect; requireSuperAdmin enforced</t>
  </si>
  <si>
    <t xml:space="preserve">TC-NOT-108</t>
  </si>
  <si>
    <t xml:space="preserve">OTP</t>
  </si>
  <si>
    <t xml:space="preserve">OTP via SMS (2Factor) with provider fallback</t>
  </si>
  <si>
    <t xml:space="preserve">SMS configured</t>
  </si>
  <si>
    <t xml:space="preserve">Request OTP</t>
  </si>
  <si>
    <t xml:space="preserve">Delivered via primary; falls back; demo mode logs code</t>
  </si>
  <si>
    <t xml:space="preserve">TC-NOT-109</t>
  </si>
  <si>
    <t xml:space="preserve">Order</t>
  </si>
  <si>
    <t xml:space="preserve">Order status SMS/in-app sent</t>
  </si>
  <si>
    <t xml:space="preserve">Progress order</t>
  </si>
  <si>
    <t xml:space="preserve">Customer notified at key states</t>
  </si>
  <si>
    <t xml:space="preserve">TC-NOT-110</t>
  </si>
  <si>
    <t xml:space="preserve">Expiry</t>
  </si>
  <si>
    <t xml:space="preserve">FSSAI/KYC expiry alerts debounced</t>
  </si>
  <si>
    <t xml:space="preserve">Near-expiry records</t>
  </si>
  <si>
    <t xml:space="preserve">Run sweeps twice</t>
  </si>
  <si>
    <t xml:space="preserve">Alert sent once per debounce window; masked PII</t>
  </si>
  <si>
    <t xml:space="preserve">TC-SEC-111</t>
  </si>
  <si>
    <t xml:space="preserve">Authorization</t>
  </si>
  <si>
    <t xml:space="preserve">IDOR: cannot access another user's order/profile by ID</t>
  </si>
  <si>
    <t xml:space="preserve">Two users + IDs</t>
  </si>
  <si>
    <t xml:space="preserve">Request other user's resource by id</t>
  </si>
  <si>
    <t xml:space="preserve">other id</t>
  </si>
  <si>
    <t xml:space="preserve">403/404; no data leak</t>
  </si>
  <si>
    <t xml:space="preserve">TC-SEC-112</t>
  </si>
  <si>
    <t xml:space="preserve">Injection</t>
  </si>
  <si>
    <t xml:space="preserve">SQL/NoSQL injection blocked (Prisma params)</t>
  </si>
  <si>
    <t xml:space="preserve">Inject in search/filters/params</t>
  </si>
  <si>
    <t xml:space="preserve">' OR 1=1</t>
  </si>
  <si>
    <t xml:space="preserve">No injection; parameterized; input validated</t>
  </si>
  <si>
    <t xml:space="preserve">TC-SEC-113</t>
  </si>
  <si>
    <t xml:space="preserve">XSS</t>
  </si>
  <si>
    <t xml:space="preserve">Stored/reflected XSS sanitized</t>
  </si>
  <si>
    <t xml:space="preserve">Free-text fields</t>
  </si>
  <si>
    <t xml:space="preserve">Submit script payload</t>
  </si>
  <si>
    <t xml:space="preserve">&lt;script&gt;</t>
  </si>
  <si>
    <t xml:space="preserve">Escaped/sanitized; no execution</t>
  </si>
  <si>
    <t xml:space="preserve">TC-SEC-114</t>
  </si>
  <si>
    <t xml:space="preserve">Rate limit</t>
  </si>
  <si>
    <t xml:space="preserve">Sensitive endpoints rate-limited</t>
  </si>
  <si>
    <t xml:space="preserve">Flood OTP/login/claim</t>
  </si>
  <si>
    <t xml:space="preserve">burst</t>
  </si>
  <si>
    <t xml:space="preserve">429/throttle; abuse logged</t>
  </si>
  <si>
    <t xml:space="preserve">TC-SEC-115</t>
  </si>
  <si>
    <t xml:space="preserve">Secrets</t>
  </si>
  <si>
    <t xml:space="preserve">No secrets/tokens leaked in responses/logs/URLs</t>
  </si>
  <si>
    <t xml:space="preserve">Inspect responses, logs, URLs</t>
  </si>
  <si>
    <t xml:space="preserve">No API keys/passwords; integration creds encrypted</t>
  </si>
  <si>
    <t xml:space="preserve">TC-SEC-116</t>
  </si>
  <si>
    <t xml:space="preserve">Headers/CSP</t>
  </si>
  <si>
    <t xml:space="preserve">Security headers + CSP present</t>
  </si>
  <si>
    <t xml:space="preserve">Inspect response headers</t>
  </si>
  <si>
    <t xml:space="preserve">CSP, HSTS, X-Frame, etc. set</t>
  </si>
  <si>
    <t xml:space="preserve">TC-SEC-117</t>
  </si>
  <si>
    <t xml:space="preserve">File upload</t>
  </si>
  <si>
    <t xml:space="preserve">Upload allowlist + size/type limits</t>
  </si>
  <si>
    <t xml:space="preserve">Upload fields</t>
  </si>
  <si>
    <t xml:space="preserve">Upload disallowed type/oversize</t>
  </si>
  <si>
    <t xml:space="preserve">exe/huge</t>
  </si>
  <si>
    <t xml:space="preserve">Rejected; allowlist enforced</t>
  </si>
  <si>
    <t xml:space="preserve">TC-SEC-118</t>
  </si>
  <si>
    <t xml:space="preserve">Transport</t>
  </si>
  <si>
    <t xml:space="preserve">HTTPS enforced; http→https redirect</t>
  </si>
  <si>
    <t xml:space="preserve">Hit http://flavrly.in</t>
  </si>
  <si>
    <t xml:space="preserve">301/308 to https; valid cert</t>
  </si>
  <si>
    <t xml:space="preserve">TC-SEC-119</t>
  </si>
  <si>
    <t xml:space="preserve">Financial</t>
  </si>
  <si>
    <t xml:space="preserve">Cannot tamper price/discount client-side</t>
  </si>
  <si>
    <t xml:space="preserve">Tamper cart totals via API</t>
  </si>
  <si>
    <t xml:space="preserve">forged total</t>
  </si>
  <si>
    <t xml:space="preserve">Server recomputes &amp; price-locks; tamper ignored</t>
  </si>
  <si>
    <t xml:space="preserve">TC-SEC-120</t>
  </si>
  <si>
    <t xml:space="preserve">Unsigned/forged payment webhook rejected</t>
  </si>
  <si>
    <t xml:space="preserve">Post forged webhook</t>
  </si>
  <si>
    <t xml:space="preserve">bad sig</t>
  </si>
  <si>
    <t xml:space="preserve">Rejected; no order/refund side-effect</t>
  </si>
  <si>
    <t xml:space="preserve">TC-DB-121</t>
  </si>
  <si>
    <t xml:space="preserve">Integrity</t>
  </si>
  <si>
    <t xml:space="preserve">FK &amp; cascade behavior correct (orders/items/refunds)</t>
  </si>
  <si>
    <t xml:space="preserve">Seed data</t>
  </si>
  <si>
    <t xml:space="preserve">Delete parent w/ children</t>
  </si>
  <si>
    <t xml:space="preserve">Cascades/sets-null per schema; no orphans</t>
  </si>
  <si>
    <t xml:space="preserve">TC-DB-122</t>
  </si>
  <si>
    <t xml:space="preserve">Constraints</t>
  </si>
  <si>
    <t xml:space="preserve">Unique constraints enforced (phone, code, periodKey)</t>
  </si>
  <si>
    <t xml:space="preserve">Insert duplicate</t>
  </si>
  <si>
    <t xml:space="preserve">dup phone</t>
  </si>
  <si>
    <t xml:space="preserve">DB rejects; app handles gracefully</t>
  </si>
  <si>
    <t xml:space="preserve">TC-DB-123</t>
  </si>
  <si>
    <t xml:space="preserve">Enums</t>
  </si>
  <si>
    <t xml:space="preserve">Enum values valid (IntegrationProvider incl. SMS gateways)</t>
  </si>
  <si>
    <t xml:space="preserve">Query by provider TWOFACTOR/MSG91 etc.</t>
  </si>
  <si>
    <t xml:space="preserve">No 'invalid enum value' error; lookups succeed</t>
  </si>
  <si>
    <t xml:space="preserve">TC-DB-124</t>
  </si>
  <si>
    <t xml:space="preserve">Money</t>
  </si>
  <si>
    <t xml:space="preserve">Decimal precision for money (no float drift)</t>
  </si>
  <si>
    <t xml:space="preserve">Sum/aggregate amounts</t>
  </si>
  <si>
    <t xml:space="preserve">Decimal(10,2)/(12,2) exact; rounding correct</t>
  </si>
  <si>
    <t xml:space="preserve">TC-DB-125</t>
  </si>
  <si>
    <t xml:space="preserve">Transactions</t>
  </si>
  <si>
    <t xml:space="preserve">Atomic txns roll back fully on failure</t>
  </si>
  <si>
    <t xml:space="preserve">Force mid-transaction error (e.g., wallet negative)</t>
  </si>
  <si>
    <t xml:space="preserve">All-or-nothing; no partial writes</t>
  </si>
  <si>
    <t xml:space="preserve">TC-DB-126</t>
  </si>
  <si>
    <t xml:space="preserve">Migrations</t>
  </si>
  <si>
    <t xml:space="preserve">Migrations apply cleanly (db push) incl. new columns/enums</t>
  </si>
  <si>
    <t xml:space="preserve">Fresh + existing DB</t>
  </si>
  <si>
    <t xml:space="preserve">Run prisma db push / migrate</t>
  </si>
  <si>
    <t xml:space="preserve">Schema synced; suspendedAt, Refund fields, SMS enums present</t>
  </si>
  <si>
    <t xml:space="preserve">TC-DB-127</t>
  </si>
  <si>
    <t xml:space="preserve">Idempotency</t>
  </si>
  <si>
    <t xml:space="preserve">Sweeps &amp; bonus credits idempotent on re-run</t>
  </si>
  <si>
    <t xml:space="preserve">Re-run incentive/refund/shift jobs</t>
  </si>
  <si>
    <t xml:space="preserve">No double credit/flip; guards hold</t>
  </si>
  <si>
    <t xml:space="preserve">TC-DB-128</t>
  </si>
  <si>
    <t xml:space="preserve">Concurrency</t>
  </si>
  <si>
    <t xml:space="preserve">Concurrent claim/refund safe under race</t>
  </si>
  <si>
    <t xml:space="preserve">Parallel writers</t>
  </si>
  <si>
    <t xml:space="preserve">updateMany guards prevent double effect</t>
  </si>
  <si>
    <t xml:space="preserve">TC-TEC-129</t>
  </si>
  <si>
    <t xml:space="preserve">API p95 latency under target at expected load</t>
  </si>
  <si>
    <t xml:space="preserve">Staging w/ data</t>
  </si>
  <si>
    <t xml:space="preserve">Load test key APIs</t>
  </si>
  <si>
    <t xml:space="preserve">100 vu</t>
  </si>
  <si>
    <t xml:space="preserve">p95 &lt; 800ms; no errors</t>
  </si>
  <si>
    <t xml:space="preserve">TC-TEC-130</t>
  </si>
  <si>
    <t xml:space="preserve">Load</t>
  </si>
  <si>
    <t xml:space="preserve">Order pool &amp; checkout stable under concurrent load</t>
  </si>
  <si>
    <t xml:space="preserve">Staging</t>
  </si>
  <si>
    <t xml:space="preserve">Concurrent orders/claims</t>
  </si>
  <si>
    <t xml:space="preserve">ramp</t>
  </si>
  <si>
    <t xml:space="preserve">No deadlocks; throughput stable</t>
  </si>
  <si>
    <t xml:space="preserve">TC-TEC-131</t>
  </si>
  <si>
    <t xml:space="preserve">SSE scales / reconnects after drop</t>
  </si>
  <si>
    <t xml:space="preserve">Many subscribers</t>
  </si>
  <si>
    <t xml:space="preserve">Drop &amp; restore network</t>
  </si>
  <si>
    <t xml:space="preserve">Reconnect; polling fallback; no missed updates</t>
  </si>
  <si>
    <t xml:space="preserve">TC-TEC-132</t>
  </si>
  <si>
    <t xml:space="preserve">Compatibility</t>
  </si>
  <si>
    <t xml:space="preserve">Cross-browser (Chrome/Safari/Firefox/Edge)</t>
  </si>
  <si>
    <t xml:space="preserve">Run smoke on each</t>
  </si>
  <si>
    <t xml:space="preserve">Consistent layout &amp; behavior</t>
  </si>
  <si>
    <t xml:space="preserve">TC-TEC-133</t>
  </si>
  <si>
    <t xml:space="preserve">Responsive</t>
  </si>
  <si>
    <t xml:space="preserve">Mobile/tablet/desktop responsive (customer + rider screens)</t>
  </si>
  <si>
    <t xml:space="preserve">Test breakpoints</t>
  </si>
  <si>
    <t xml:space="preserve">320/768/1280</t>
  </si>
  <si>
    <t xml:space="preserve">No overflow; bottom nav/cart bar correct</t>
  </si>
  <si>
    <t xml:space="preserve">TC-TEC-134</t>
  </si>
  <si>
    <t xml:space="preserve">Android</t>
  </si>
  <si>
    <t xml:space="preserve">Rider APK on Android versions (min SDK 24+)</t>
  </si>
  <si>
    <t xml:space="preserve">APK</t>
  </si>
  <si>
    <t xml:space="preserve">Install on multiple Android</t>
  </si>
  <si>
    <t xml:space="preserve">Installs; permissions; maps/camera work</t>
  </si>
  <si>
    <t xml:space="preserve">TC-TEC-135</t>
  </si>
  <si>
    <t xml:space="preserve">PWA</t>
  </si>
  <si>
    <t xml:space="preserve">PWA install + service worker + location enforcement</t>
  </si>
  <si>
    <t xml:space="preserve">Install PWA</t>
  </si>
  <si>
    <t xml:space="preserve">Installable; SW caches; offline-aware</t>
  </si>
  <si>
    <t xml:space="preserve">TC-TEC-136</t>
  </si>
  <si>
    <t xml:space="preserve">Accessibility</t>
  </si>
  <si>
    <t xml:space="preserve">WCAG: keyboard nav, labels, contrast, alt text</t>
  </si>
  <si>
    <t xml:space="preserve">Axe/keyboard audit</t>
  </si>
  <si>
    <t xml:space="preserve">No critical a11y violations</t>
  </si>
  <si>
    <t xml:space="preserve">TC-TEC-137</t>
  </si>
  <si>
    <t xml:space="preserve">API Contract</t>
  </si>
  <si>
    <t xml:space="preserve">API status codes &amp; payload shapes match spec</t>
  </si>
  <si>
    <t xml:space="preserve">API</t>
  </si>
  <si>
    <t xml:space="preserve">Hit endpoints w/ valid/invalid</t>
  </si>
  <si>
    <t xml:space="preserve">Correct 2xx/4xx/5xx; consistent JSON; 401 vs 403 correct</t>
  </si>
  <si>
    <t xml:space="preserve">TC-TEC-138</t>
  </si>
  <si>
    <t xml:space="preserve">Localization</t>
  </si>
  <si>
    <t xml:space="preserve">₹ currency, IST time, +91 phone, pincode formats</t>
  </si>
  <si>
    <t xml:space="preserve">Inspect formats across app</t>
  </si>
  <si>
    <t xml:space="preserve">India formats correct everywhere</t>
  </si>
  <si>
    <t xml:space="preserve">TC-TEC-139</t>
  </si>
  <si>
    <t xml:space="preserve">Resilience</t>
  </si>
  <si>
    <t xml:space="preserve">Graceful degradation when SMS/maps/storage down</t>
  </si>
  <si>
    <t xml:space="preserve">Disable a dependency</t>
  </si>
  <si>
    <t xml:space="preserve">Exercise dependent flow</t>
  </si>
  <si>
    <t xml:space="preserve">Fallback (demo OTP/placeholder map/fallback image); no crash</t>
  </si>
  <si>
    <t xml:space="preserve">TC-TEC-140</t>
  </si>
  <si>
    <t xml:space="preserve">Deploy</t>
  </si>
  <si>
    <t xml:space="preserve">Post-deploy smoke + health green; rollback works</t>
  </si>
  <si>
    <t xml:space="preserve">Deploy to staging</t>
  </si>
  <si>
    <t xml:space="preserve">Run fix-prod.sh; check health</t>
  </si>
  <si>
    <t xml:space="preserve">Build ok; pm2 online; health green; rollback restores</t>
  </si>
  <si>
    <t xml:space="preserve">Smoke</t>
  </si>
  <si>
    <t xml:space="preserve">Functional Testing Checklist</t>
  </si>
  <si>
    <t xml:space="preserve">Feature-by-feature functional validation (cross-references Test Cases master)</t>
  </si>
  <si>
    <t xml:space="preserve">Area</t>
  </si>
  <si>
    <t xml:space="preserve">Functional Check</t>
  </si>
  <si>
    <t xml:space="preserve">Expected</t>
  </si>
  <si>
    <t xml:space="preserve">Linked TC Prefix</t>
  </si>
  <si>
    <t xml:space="preserve">All login flows (OTP, email, Google, rider token) + role routing</t>
  </si>
  <si>
    <t xml:space="preserve">Correct auth &amp; landing per role</t>
  </si>
  <si>
    <t xml:space="preserve">TC-AUTH</t>
  </si>
  <si>
    <t xml:space="preserve">Storefront, search, categories, schedules, happy-hour pricing</t>
  </si>
  <si>
    <t xml:space="preserve">Accurate catalog rendering</t>
  </si>
  <si>
    <t xml:space="preserve">TC-WEB</t>
  </si>
  <si>
    <t xml:space="preserve">BOGO, coupons, freebies, combos, cross-sell, signup bonus, wallet, loyalty</t>
  </si>
  <si>
    <t xml:space="preserve">Correct discount math &amp; gating</t>
  </si>
  <si>
    <t xml:space="preserve">TC-OFR</t>
  </si>
  <si>
    <t xml:space="preserve">Delivery/Pickup/Dine-in/Scheduled + reservations + charges</t>
  </si>
  <si>
    <t xml:space="preserve">Correct flow, codes, totals</t>
  </si>
  <si>
    <t xml:space="preserve">TC-CHK/RES</t>
  </si>
  <si>
    <t xml:space="preserve">Razorpay, COD, webhook, refunds (wallet-first)</t>
  </si>
  <si>
    <t xml:space="preserve">Capture/refund correct &amp; audited</t>
  </si>
  <si>
    <t xml:space="preserve">TC-PAY</t>
  </si>
  <si>
    <t xml:space="preserve">Order lifecycle</t>
  </si>
  <si>
    <t xml:space="preserve">State machine + realtime sync + escalations</t>
  </si>
  <si>
    <t xml:space="preserve">Valid transitions; live sync</t>
  </si>
  <si>
    <t xml:space="preserve">TC-ORD</t>
  </si>
  <si>
    <t xml:space="preserve">Rider app</t>
  </si>
  <si>
    <t xml:space="preserve">Login→online→pool→claim→pickup→deliver, earnings, KYC, pay engine, safety</t>
  </si>
  <si>
    <t xml:space="preserve">Full delivery + money flows</t>
  </si>
  <si>
    <t xml:space="preserve">TC-RID</t>
  </si>
  <si>
    <t xml:space="preserve">Menu/promotions/branches/FSSAI/hierarchy/reports</t>
  </si>
  <si>
    <t xml:space="preserve">Catalog &amp; ops management</t>
  </si>
  <si>
    <t xml:space="preserve">TC-ADM</t>
  </si>
  <si>
    <t xml:space="preserve">Super-admin</t>
  </si>
  <si>
    <t xml:space="preserve">Approvals, users/wallet/suspension, payouts, COD, surge/tiers/incentives/referrals, QR, support, audit</t>
  </si>
  <si>
    <t xml:space="preserve">Governance &amp; money controls</t>
  </si>
  <si>
    <t xml:space="preserve">TC-SUP</t>
  </si>
  <si>
    <t xml:space="preserve">OTP/order/expiry across SMS/email/in-app</t>
  </si>
  <si>
    <t xml:space="preserve">Right party, debounced</t>
  </si>
  <si>
    <t xml:space="preserve">TC-NOT</t>
  </si>
  <si>
    <t xml:space="preserve">Regression Test Suite</t>
  </si>
  <si>
    <t xml:space="preserve">Prioritized regression executed pre-release / nightly. Run all P1 + P2; rotate P3.</t>
  </si>
  <si>
    <t xml:space="preserve">Reg ID</t>
  </si>
  <si>
    <t xml:space="preserve">Regression Check</t>
  </si>
  <si>
    <t xml:space="preserve">Trigger</t>
  </si>
  <si>
    <t xml:space="preserve">Automated</t>
  </si>
  <si>
    <t xml:space="preserve">REG-01</t>
  </si>
  <si>
    <t xml:space="preserve">All login/role/session/suspension paths</t>
  </si>
  <si>
    <t xml:space="preserve">Any auth or middleware change</t>
  </si>
  <si>
    <t xml:space="preserve">Partial</t>
  </si>
  <si>
    <t xml:space="preserve">REG-02</t>
  </si>
  <si>
    <t xml:space="preserve">Full offer-engine matrix (BOGO/HH/coupon/freebie/combo/best-offer)</t>
  </si>
  <si>
    <t xml:space="preserve">Any pricing/offer change</t>
  </si>
  <si>
    <t xml:space="preserve">REG-03</t>
  </si>
  <si>
    <t xml:space="preserve">All fulfillment types + charges breakdown</t>
  </si>
  <si>
    <t xml:space="preserve">Checkout/pricing change</t>
  </si>
  <si>
    <t xml:space="preserve">REG-04</t>
  </si>
  <si>
    <t xml:space="preserve">Online + COD + webhook + refund (wallet/original)</t>
  </si>
  <si>
    <t xml:space="preserve">Payment/refund change</t>
  </si>
  <si>
    <t xml:space="preserve">REG-05</t>
  </si>
  <si>
    <t xml:space="preserve">State machine + realtime fan-out (customer/kitchen/admin/super)</t>
  </si>
  <si>
    <t xml:space="preserve">Orders/realtime change</t>
  </si>
  <si>
    <t xml:space="preserve">REG-06</t>
  </si>
  <si>
    <t xml:space="preserve">Claim→pickup→deliver + earnings/surge/tier/incentive</t>
  </si>
  <si>
    <t xml:space="preserve">Rider/pay change</t>
  </si>
  <si>
    <t xml:space="preserve">REG-07</t>
  </si>
  <si>
    <t xml:space="preserve">Super-admin money</t>
  </si>
  <si>
    <t xml:space="preserve">Wallet adjust, suspension, refund, payout rules, COD, referrals</t>
  </si>
  <si>
    <t xml:space="preserve">Platform money change</t>
  </si>
  <si>
    <t xml:space="preserve">REG-08</t>
  </si>
  <si>
    <t xml:space="preserve">Menu CRUD/import, promotions, branches/FSSAI, hierarchy</t>
  </si>
  <si>
    <t xml:space="preserve">Admin change</t>
  </si>
  <si>
    <t xml:space="preserve">REG-09</t>
  </si>
  <si>
    <t xml:space="preserve">OTP + order + expiry alerts</t>
  </si>
  <si>
    <t xml:space="preserve">Notification change</t>
  </si>
  <si>
    <t xml:space="preserve">REG-10</t>
  </si>
  <si>
    <t xml:space="preserve">Authz/tenant isolation, injection, price-lock, webhook sig</t>
  </si>
  <si>
    <t xml:space="preserve">Any release</t>
  </si>
  <si>
    <t xml:space="preserve">REG-11</t>
  </si>
  <si>
    <t xml:space="preserve">Migrations apply; integrity; idempotent jobs</t>
  </si>
  <si>
    <t xml:space="preserve">Schema/job change</t>
  </si>
  <si>
    <t xml:space="preserve">REG-12</t>
  </si>
  <si>
    <t xml:space="preserve">Non-functional</t>
  </si>
  <si>
    <t xml:space="preserve">Perf p95, realtime reconnect, responsive, API contract</t>
  </si>
  <si>
    <t xml:space="preserve">REG-13</t>
  </si>
  <si>
    <t xml:space="preserve">Branding/Config</t>
  </si>
  <si>
    <t xml:space="preserve">Flavrly name/icon, flavrly.in base URL, env toggles</t>
  </si>
  <si>
    <t xml:space="preserve">Branding/config change</t>
  </si>
  <si>
    <t xml:space="preserve">Smoke Test Suite</t>
  </si>
  <si>
    <t xml:space="preserve">Build-acceptance: wide &amp; shallow. If any FAIL → reject build. Run after every deploy.</t>
  </si>
  <si>
    <t xml:space="preserve">Smoke ID</t>
  </si>
  <si>
    <t xml:space="preserve">Critical Path</t>
  </si>
  <si>
    <t xml:space="preserve">Steps (brief)</t>
  </si>
  <si>
    <t xml:space="preserve">Env</t>
  </si>
  <si>
    <t xml:space="preserve">SMK-01</t>
  </si>
  <si>
    <t xml:space="preserve">Site &amp; health up</t>
  </si>
  <si>
    <t xml:space="preserve">Open flavrly.in; GET /api/system/health</t>
  </si>
  <si>
    <t xml:space="preserve">200; health JSON ok; DB ok</t>
  </si>
  <si>
    <t xml:space="preserve">All</t>
  </si>
  <si>
    <t xml:space="preserve">SMK-02</t>
  </si>
  <si>
    <t xml:space="preserve">Customer login</t>
  </si>
  <si>
    <t xml:space="preserve">Session created</t>
  </si>
  <si>
    <t xml:space="preserve">SMK-03</t>
  </si>
  <si>
    <t xml:space="preserve">Place delivery order</t>
  </si>
  <si>
    <t xml:space="preserve">Add item → checkout (COD) → place</t>
  </si>
  <si>
    <t xml:space="preserve">Order RECEIVED; OTP issued</t>
  </si>
  <si>
    <t xml:space="preserve">SMK-04</t>
  </si>
  <si>
    <t xml:space="preserve">Online payment</t>
  </si>
  <si>
    <t xml:space="preserve">Pay via Razorpay test</t>
  </si>
  <si>
    <t xml:space="preserve">Payment captured; order confirmed</t>
  </si>
  <si>
    <t xml:space="preserve">Stg</t>
  </si>
  <si>
    <t xml:space="preserve">SMK-05</t>
  </si>
  <si>
    <t xml:space="preserve">Kitchen accept</t>
  </si>
  <si>
    <t xml:space="preserve">Accept order on kitchen board</t>
  </si>
  <si>
    <t xml:space="preserve">ACCEPTED reflects realtime</t>
  </si>
  <si>
    <t xml:space="preserve">SMK-06</t>
  </si>
  <si>
    <t xml:space="preserve">Rider claim &amp; deliver</t>
  </si>
  <si>
    <t xml:space="preserve">Login app → online → claim → pickup → deliver OTP</t>
  </si>
  <si>
    <t xml:space="preserve">DELIVERED; earnings credited</t>
  </si>
  <si>
    <t xml:space="preserve">SMK-07</t>
  </si>
  <si>
    <t xml:space="preserve">Admin board</t>
  </si>
  <si>
    <t xml:space="preserve">Open /admin orders</t>
  </si>
  <si>
    <t xml:space="preserve">Loads; live updates</t>
  </si>
  <si>
    <t xml:space="preserve">SMK-08</t>
  </si>
  <si>
    <t xml:space="preserve">Open /platform dashboard</t>
  </si>
  <si>
    <t xml:space="preserve">KPIs load; no errors</t>
  </si>
  <si>
    <t xml:space="preserve">SMK-09</t>
  </si>
  <si>
    <t xml:space="preserve">Refund an order to wallet</t>
  </si>
  <si>
    <t xml:space="preserve">Wallet credited; refund recorded</t>
  </si>
  <si>
    <t xml:space="preserve">SMK-10</t>
  </si>
  <si>
    <t xml:space="preserve">Suspend a test user</t>
  </si>
  <si>
    <t xml:space="preserve">Login blocked everywhere</t>
  </si>
  <si>
    <t xml:space="preserve">SMK-11</t>
  </si>
  <si>
    <t xml:space="preserve">Rider app identity</t>
  </si>
  <si>
    <t xml:space="preserve">Launch APK</t>
  </si>
  <si>
    <t xml:space="preserve">Flavrly name/icon; talks to flavrly.in</t>
  </si>
  <si>
    <t xml:space="preserve">SMK-12</t>
  </si>
  <si>
    <t xml:space="preserve">Realtime sync</t>
  </si>
  <si>
    <t xml:space="preserve">Change order status</t>
  </si>
  <si>
    <t xml:space="preserve">Customer/kitchen/admin update &lt; 3s</t>
  </si>
  <si>
    <t xml:space="preserve">Sanity Test Suite</t>
  </si>
  <si>
    <t xml:space="preserve">Narrow &amp; deep — run on the changed area only, after a fix or minor change.</t>
  </si>
  <si>
    <t xml:space="preserve">Sanity ID</t>
  </si>
  <si>
    <t xml:space="preserve">Changed Area</t>
  </si>
  <si>
    <t xml:space="preserve">Focused Checks</t>
  </si>
  <si>
    <t xml:space="preserve">Pass Criteria</t>
  </si>
  <si>
    <t xml:space="preserve">SAN-01</t>
  </si>
  <si>
    <t xml:space="preserve">Recompute the specific offer changed + adjacent offers</t>
  </si>
  <si>
    <t xml:space="preserve">Correct discount; no regression in neighbors</t>
  </si>
  <si>
    <t xml:space="preserve">SAN-02</t>
  </si>
  <si>
    <t xml:space="preserve">Refund flow</t>
  </si>
  <si>
    <t xml:space="preserve">Wallet + original-method + cap + COD wallet</t>
  </si>
  <si>
    <t xml:space="preserve">All paths correct &amp; audited</t>
  </si>
  <si>
    <t xml:space="preserve">SAN-03</t>
  </si>
  <si>
    <t xml:space="preserve">Rider pay</t>
  </si>
  <si>
    <t xml:space="preserve">Surge + tier + incentive math for changed rule</t>
  </si>
  <si>
    <t xml:space="preserve">Payout exact; bonus once</t>
  </si>
  <si>
    <t xml:space="preserve">SAN-04</t>
  </si>
  <si>
    <t xml:space="preserve">Auth/suspension</t>
  </si>
  <si>
    <t xml:space="preserve">Login + suspended block (web + rider token)</t>
  </si>
  <si>
    <t xml:space="preserve">Blocks/permits correctly</t>
  </si>
  <si>
    <t xml:space="preserve">SAN-05</t>
  </si>
  <si>
    <t xml:space="preserve">Banner/icon/name</t>
  </si>
  <si>
    <t xml:space="preserve">Storefront banner fs-guard; rider name/icon</t>
  </si>
  <si>
    <t xml:space="preserve">No 404; Flavrly identity</t>
  </si>
  <si>
    <t xml:space="preserve">SAN-06</t>
  </si>
  <si>
    <t xml:space="preserve">Enum/SMS config</t>
  </si>
  <si>
    <t xml:space="preserve">IntegrationProvider lookups (TWOFACTOR/MSG91...)</t>
  </si>
  <si>
    <t xml:space="preserve">No invalid-enum errors in logs</t>
  </si>
  <si>
    <t xml:space="preserve">SAN-07</t>
  </si>
  <si>
    <t xml:space="preserve">Migration</t>
  </si>
  <si>
    <t xml:space="preserve">New columns/enums present after db push</t>
  </si>
  <si>
    <t xml:space="preserve">Queries succeed; app boots</t>
  </si>
  <si>
    <t xml:space="preserve">Black Box Testing</t>
  </si>
  <si>
    <t xml:space="preserve">Input/output testing without internal code knowledge — techniques mapped to Flavrly.</t>
  </si>
  <si>
    <t xml:space="preserve">Applied To (examples)</t>
  </si>
  <si>
    <t xml:space="preserve">Sample Cases</t>
  </si>
  <si>
    <t xml:space="preserve">Equivalence Partitioning</t>
  </si>
  <si>
    <t xml:space="preserve">Group inputs into valid/invalid classes</t>
  </si>
  <si>
    <t xml:space="preserve">Phone, OTP, coupon code, amount fields</t>
  </si>
  <si>
    <t xml:space="preserve">Valid phone vs short vs alpha; valid vs expired coupon</t>
  </si>
  <si>
    <t xml:space="preserve">Boundary Value Analysis</t>
  </si>
  <si>
    <t xml:space="preserve">Test edges of ranges</t>
  </si>
  <si>
    <t xml:space="preserve">OTP length, cart qty, refund amount, distance tiers</t>
  </si>
  <si>
    <t xml:space="preserve">Refund = 0 / =total / &gt;total; first-km included boundary</t>
  </si>
  <si>
    <t xml:space="preserve">Decision Table</t>
  </si>
  <si>
    <t xml:space="preserve">Combine conditions → actions</t>
  </si>
  <si>
    <t xml:space="preserve">Offer gates (fulfillment×schedule×min-cart)</t>
  </si>
  <si>
    <t xml:space="preserve">Each gate combination → applied/not</t>
  </si>
  <si>
    <t xml:space="preserve">State Transition</t>
  </si>
  <si>
    <t xml:space="preserve">Valid/invalid state moves</t>
  </si>
  <si>
    <t xml:space="preserve">Order state machine; referral lifecycle; KYC status</t>
  </si>
  <si>
    <t xml:space="preserve">DELIVERED→REFUNDED path; invalid jumps rejected</t>
  </si>
  <si>
    <t xml:space="preserve">Error Guessing</t>
  </si>
  <si>
    <t xml:space="preserve">Probe likely failure points</t>
  </si>
  <si>
    <t xml:space="preserve">Whitespace in OTP, double-submit, network drop</t>
  </si>
  <si>
    <t xml:space="preserve">Bullet/space OTP; double claim; offline checkout</t>
  </si>
  <si>
    <t xml:space="preserve">Use-Case Testing</t>
  </si>
  <si>
    <t xml:space="preserve">Exercise end-to-end business flows</t>
  </si>
  <si>
    <t xml:space="preserve">UC-01..UC-18</t>
  </si>
  <si>
    <t xml:space="preserve">Full discover→order→deliver→rate</t>
  </si>
  <si>
    <t xml:space="preserve">Negative Testing</t>
  </si>
  <si>
    <t xml:space="preserve">Invalid/unexpected inputs</t>
  </si>
  <si>
    <t xml:space="preserve">All forms &amp; APIs</t>
  </si>
  <si>
    <t xml:space="preserve">Empty cart checkout; forged totals; wrong OTP</t>
  </si>
  <si>
    <t xml:space="preserve">Cross-field Validation</t>
  </si>
  <si>
    <t xml:space="preserve">Dependent field rules</t>
  </si>
  <si>
    <t xml:space="preserve">Scheduled time vs now; dine-in needs table</t>
  </si>
  <si>
    <t xml:space="preserve">Past time rejected; missing table blocked</t>
  </si>
  <si>
    <t xml:space="preserve">White Box Testing</t>
  </si>
  <si>
    <t xml:space="preserve">Code-aware testing of internal logic, paths and branches.</t>
  </si>
  <si>
    <t xml:space="preserve">Target Code Area</t>
  </si>
  <si>
    <t xml:space="preserve">Coverage Goal</t>
  </si>
  <si>
    <t xml:space="preserve">Statement Coverage</t>
  </si>
  <si>
    <t xml:space="preserve">Execute every statement</t>
  </si>
  <si>
    <t xml:space="preserve">offers.ts, payouts.ts, refunds.ts</t>
  </si>
  <si>
    <t xml:space="preserve">All lines hit by unit tests</t>
  </si>
  <si>
    <t xml:space="preserve">Branch/Decision Coverage</t>
  </si>
  <si>
    <t xml:space="preserve">Exercise every branch</t>
  </si>
  <si>
    <t xml:space="preserve">Order state machine (ALLOWED_NEXT), gates</t>
  </si>
  <si>
    <t xml:space="preserve">Each true/false branch</t>
  </si>
  <si>
    <t xml:space="preserve">Condition Coverage</t>
  </si>
  <si>
    <t xml:space="preserve">Each boolean sub-condition</t>
  </si>
  <si>
    <t xml:space="preserve">Offer gates, auth guards (role+suspended)</t>
  </si>
  <si>
    <t xml:space="preserve">Each condition T/F</t>
  </si>
  <si>
    <t xml:space="preserve">Path Coverage</t>
  </si>
  <si>
    <t xml:space="preserve">Independent execution paths</t>
  </si>
  <si>
    <t xml:space="preserve">Pay engine (base→distance→surge→tier→caps)</t>
  </si>
  <si>
    <t xml:space="preserve">Key path combinations</t>
  </si>
  <si>
    <t xml:space="preserve">Unit Testing</t>
  </si>
  <si>
    <t xml:space="preserve">Function-level correctness</t>
  </si>
  <si>
    <t xml:space="preserve">computeFromRule, applyIncentivesForDelivery, refundOrder, tier math, shift IST</t>
  </si>
  <si>
    <t xml:space="preserve">Vitest suite (446+ passing)</t>
  </si>
  <si>
    <t xml:space="preserve">Loop Testing</t>
  </si>
  <si>
    <t xml:space="preserve">0/1/many iterations</t>
  </si>
  <si>
    <t xml:space="preserve">Cart items, KOT components, batch invites</t>
  </si>
  <si>
    <t xml:space="preserve">Empty, single, many</t>
  </si>
  <si>
    <t xml:space="preserve">Data-flow Testing</t>
  </si>
  <si>
    <t xml:space="preserve">Define-use of variables</t>
  </si>
  <si>
    <t xml:space="preserve">Wallet balance, remaining refund, session sid</t>
  </si>
  <si>
    <t xml:space="preserve">No stale/negative states</t>
  </si>
  <si>
    <t xml:space="preserve">Mutation/Guard Testing</t>
  </si>
  <si>
    <t xml:space="preserve">Verify guards hold</t>
  </si>
  <si>
    <t xml:space="preserve">bonusPaid, updateMany status guards, txn rollback</t>
  </si>
  <si>
    <t xml:space="preserve">No double-pay; atomicity</t>
  </si>
  <si>
    <t xml:space="preserve">OWASP-aligned checks mapped to Flavrly. P1 must be clean before release.</t>
  </si>
  <si>
    <t xml:space="preserve">Sec ID</t>
  </si>
  <si>
    <t xml:space="preserve">Category (OWASP)</t>
  </si>
  <si>
    <t xml:space="preserve">Check</t>
  </si>
  <si>
    <t xml:space="preserve">SECT-01</t>
  </si>
  <si>
    <t xml:space="preserve">Broken Access Control</t>
  </si>
  <si>
    <t xml:space="preserve">Tenant isolation (admin↔restaurant), requireSuperAdmin, role guards</t>
  </si>
  <si>
    <t xml:space="preserve">No cross-tenant/role access</t>
  </si>
  <si>
    <t xml:space="preserve">SECT-02</t>
  </si>
  <si>
    <t xml:space="preserve">IDOR on orders/users/riders by id</t>
  </si>
  <si>
    <t xml:space="preserve">403/404; ownership enforced</t>
  </si>
  <si>
    <t xml:space="preserve">SECT-03</t>
  </si>
  <si>
    <t xml:space="preserve">Cryptographic Failures</t>
  </si>
  <si>
    <t xml:space="preserve">Secrets/integration creds encrypted; none in logs/URLs</t>
  </si>
  <si>
    <t xml:space="preserve">No plaintext secrets</t>
  </si>
  <si>
    <t xml:space="preserve">SECT-04</t>
  </si>
  <si>
    <t xml:space="preserve">SQL/NoSQL/command/XSS via inputs</t>
  </si>
  <si>
    <t xml:space="preserve">Sanitized/parameterized</t>
  </si>
  <si>
    <t xml:space="preserve">SECT-05</t>
  </si>
  <si>
    <t xml:space="preserve">Insecure Design</t>
  </si>
  <si>
    <t xml:space="preserve">Server-side price-lock; offers recomputed server-side</t>
  </si>
  <si>
    <t xml:space="preserve">Client tampering ignored</t>
  </si>
  <si>
    <t xml:space="preserve">SECT-06</t>
  </si>
  <si>
    <t xml:space="preserve">Security Misconfig</t>
  </si>
  <si>
    <t xml:space="preserve">CSP/HSTS/X-Frame/secure cookies; no debug in prod</t>
  </si>
  <si>
    <t xml:space="preserve">Headers present; hardened</t>
  </si>
  <si>
    <t xml:space="preserve">SECT-07</t>
  </si>
  <si>
    <t xml:space="preserve">Vulnerable Components</t>
  </si>
  <si>
    <t xml:space="preserve">Dependency audit (npm audit)</t>
  </si>
  <si>
    <t xml:space="preserve">No known critical/high</t>
  </si>
  <si>
    <t xml:space="preserve">SECT-08</t>
  </si>
  <si>
    <t xml:space="preserve">Auth Failures</t>
  </si>
  <si>
    <t xml:space="preserve">OTP/login rate-limit + lockout; single session; TOTP/IP for super-admin</t>
  </si>
  <si>
    <t xml:space="preserve">Brute-force resisted</t>
  </si>
  <si>
    <t xml:space="preserve">SECT-09</t>
  </si>
  <si>
    <t xml:space="preserve">Data Integrity</t>
  </si>
  <si>
    <t xml:space="preserve">Payment webhook signature + idempotency</t>
  </si>
  <si>
    <t xml:space="preserve">Forged/duplicate rejected</t>
  </si>
  <si>
    <t xml:space="preserve">SECT-10</t>
  </si>
  <si>
    <t xml:space="preserve">Logging/Monitoring</t>
  </si>
  <si>
    <t xml:space="preserve">Audit log for sensitive actions; no PII in logs</t>
  </si>
  <si>
    <t xml:space="preserve">Trail complete; PII masked</t>
  </si>
  <si>
    <t xml:space="preserve">SECT-11</t>
  </si>
  <si>
    <t xml:space="preserve">SSRF/File</t>
  </si>
  <si>
    <t xml:space="preserve">Upload allowlist + size/type; no SSRF via URLs</t>
  </si>
  <si>
    <t xml:space="preserve">Malicious uploads blocked</t>
  </si>
  <si>
    <t xml:space="preserve">SECT-12</t>
  </si>
  <si>
    <t xml:space="preserve">TLS enforced; http→https; valid cert</t>
  </si>
  <si>
    <t xml:space="preserve">Secure transport only</t>
  </si>
  <si>
    <t xml:space="preserve">SECT-13</t>
  </si>
  <si>
    <t xml:space="preserve">Session</t>
  </si>
  <si>
    <t xml:space="preserve">Force-logout on suspend; token expiry; rider token re-validate</t>
  </si>
  <si>
    <t xml:space="preserve">Revocation immediate</t>
  </si>
  <si>
    <t xml:space="preserve">SECT-14</t>
  </si>
  <si>
    <t xml:space="preserve">Privacy</t>
  </si>
  <si>
    <t xml:space="preserve">PII handling (phone, KYC docs, address) least-exposure</t>
  </si>
  <si>
    <t xml:space="preserve">Access-controlled; masked</t>
  </si>
  <si>
    <t xml:space="preserve">SECT-15</t>
  </si>
  <si>
    <t xml:space="preserve">Business Logic</t>
  </si>
  <si>
    <t xml:space="preserve">Refund cap, wallet non-negative, bonus-once, no double-claim</t>
  </si>
  <si>
    <t xml:space="preserve">Abuse prevented</t>
  </si>
  <si>
    <t xml:space="preserve">Data integrity, schema, constraints, transactions and money precision (Postgres + Prisma).</t>
  </si>
  <si>
    <t xml:space="preserve">DB ID</t>
  </si>
  <si>
    <t xml:space="preserve">DBT-01</t>
  </si>
  <si>
    <t xml:space="preserve">Schema/Migrations</t>
  </si>
  <si>
    <t xml:space="preserve">prisma db push / migrate applies cleanly on fresh + existing</t>
  </si>
  <si>
    <t xml:space="preserve">All tables/columns/enums present</t>
  </si>
  <si>
    <t xml:space="preserve">DBT-02</t>
  </si>
  <si>
    <t xml:space="preserve">IntegrationProvider includes TWOFACTOR/MSG91/FAST2SMS/TEXTLOCAL/ZOHO_SMTP/BREVO_SMTP</t>
  </si>
  <si>
    <t xml:space="preserve">No invalid-enum lookup errors</t>
  </si>
  <si>
    <t xml:space="preserve">DBT-03</t>
  </si>
  <si>
    <t xml:space="preserve">Unique (User.phone, code fields, incentive periodKey)</t>
  </si>
  <si>
    <t xml:space="preserve">Duplicates rejected</t>
  </si>
  <si>
    <t xml:space="preserve">DBT-04</t>
  </si>
  <si>
    <t xml:space="preserve">Foreign Keys</t>
  </si>
  <si>
    <t xml:space="preserve">Cascade/set-null per relation (Order→items/refunds, Refund.paymentId nullable)</t>
  </si>
  <si>
    <t xml:space="preserve">No orphans; nullable wallet refunds</t>
  </si>
  <si>
    <t xml:space="preserve">DBT-05</t>
  </si>
  <si>
    <t xml:space="preserve">Money Precision</t>
  </si>
  <si>
    <t xml:space="preserve">Decimal(10,2)/(12,2) for amounts</t>
  </si>
  <si>
    <t xml:space="preserve">No float drift; exact totals</t>
  </si>
  <si>
    <t xml:space="preserve">DBT-06</t>
  </si>
  <si>
    <t xml:space="preserve">Multi-write txns atomic (wallet adjust, refund, claim)</t>
  </si>
  <si>
    <t xml:space="preserve">Full rollback on error</t>
  </si>
  <si>
    <t xml:space="preserve">DBT-07</t>
  </si>
  <si>
    <t xml:space="preserve">Re-run sweeps/bonus/refund jobs</t>
  </si>
  <si>
    <t xml:space="preserve">No double effect (guards)</t>
  </si>
  <si>
    <t xml:space="preserve">DBT-08</t>
  </si>
  <si>
    <t xml:space="preserve">Parallel claim/refund/bonus</t>
  </si>
  <si>
    <t xml:space="preserve">Race-safe via guarded updateMany</t>
  </si>
  <si>
    <t xml:space="preserve">DBT-09</t>
  </si>
  <si>
    <t xml:space="preserve">Indexing</t>
  </si>
  <si>
    <t xml:space="preserve">Hot queries indexed (orders by branch/status, riderId)</t>
  </si>
  <si>
    <t xml:space="preserve">Acceptable query plans</t>
  </si>
  <si>
    <t xml:space="preserve">DBT-10</t>
  </si>
  <si>
    <t xml:space="preserve">Data Validation</t>
  </si>
  <si>
    <t xml:space="preserve">App-layer Zod + DB constraints aligned</t>
  </si>
  <si>
    <t xml:space="preserve">Bad data rejected at both layers</t>
  </si>
  <si>
    <t xml:space="preserve">DBT-11</t>
  </si>
  <si>
    <t xml:space="preserve">Audit/Soft-state</t>
  </si>
  <si>
    <t xml:space="preserve">suspendedAt, deletedAt, statuses set correctly</t>
  </si>
  <si>
    <t xml:space="preserve">Lifecycle fields accurate</t>
  </si>
  <si>
    <t xml:space="preserve">DBT-12</t>
  </si>
  <si>
    <t xml:space="preserve">Backup/Restore</t>
  </si>
  <si>
    <t xml:space="preserve">Backup script + restore verified</t>
  </si>
  <si>
    <t xml:space="preserve">Restorable; integrity intact</t>
  </si>
  <si>
    <t xml:space="preserve">Technical &amp; Non-Functional Testing</t>
  </si>
  <si>
    <t xml:space="preserve">Performance, scalability, compatibility, accessibility, API, reliability.</t>
  </si>
  <si>
    <t xml:space="preserve">NFR ID</t>
  </si>
  <si>
    <t xml:space="preserve">Target</t>
  </si>
  <si>
    <t xml:space="preserve">NFR-01</t>
  </si>
  <si>
    <t xml:space="preserve">API p95 latency under load</t>
  </si>
  <si>
    <t xml:space="preserve">NFR-02</t>
  </si>
  <si>
    <t xml:space="preserve">NFR-03</t>
  </si>
  <si>
    <t xml:space="preserve">Realtime status latency</t>
  </si>
  <si>
    <t xml:space="preserve">NFR-04</t>
  </si>
  <si>
    <t xml:space="preserve">Scalability/Load</t>
  </si>
  <si>
    <t xml:space="preserve">Concurrent orders/claims, pool watch</t>
  </si>
  <si>
    <t xml:space="preserve">Stable; no deadlocks</t>
  </si>
  <si>
    <t xml:space="preserve">NFR-05</t>
  </si>
  <si>
    <t xml:space="preserve">Uptime / health green / error rate</t>
  </si>
  <si>
    <t xml:space="preserve">99.5% / &lt;0.5% 5xx</t>
  </si>
  <si>
    <t xml:space="preserve">NFR-06</t>
  </si>
  <si>
    <t xml:space="preserve">Dependency outage fallback (SMS/maps/storage)</t>
  </si>
  <si>
    <t xml:space="preserve">Graceful degrade</t>
  </si>
  <si>
    <t xml:space="preserve">NFR-07</t>
  </si>
  <si>
    <t xml:space="preserve">Browsers Chrome/Safari/Firefox/Edge</t>
  </si>
  <si>
    <t xml:space="preserve">Consistent</t>
  </si>
  <si>
    <t xml:space="preserve">NFR-08</t>
  </si>
  <si>
    <t xml:space="preserve">Android versions (minSdk 24+) for rider APK</t>
  </si>
  <si>
    <t xml:space="preserve">Installs &amp; runs</t>
  </si>
  <si>
    <t xml:space="preserve">NFR-09</t>
  </si>
  <si>
    <t xml:space="preserve">Mobile/tablet/desktop breakpoints</t>
  </si>
  <si>
    <t xml:space="preserve">No overflow</t>
  </si>
  <si>
    <t xml:space="preserve">NFR-10</t>
  </si>
  <si>
    <t xml:space="preserve">WCAG 2.1 AA key flows</t>
  </si>
  <si>
    <t xml:space="preserve">No critical violations</t>
  </si>
  <si>
    <t xml:space="preserve">NFR-11</t>
  </si>
  <si>
    <t xml:space="preserve">Contract: codes, payloads, 401 vs 403</t>
  </si>
  <si>
    <t xml:space="preserve">Spec-compliant</t>
  </si>
  <si>
    <t xml:space="preserve">NFR-12</t>
  </si>
  <si>
    <t xml:space="preserve">Installable + SW caching</t>
  </si>
  <si>
    <t xml:space="preserve">Works offline-aware</t>
  </si>
  <si>
    <t xml:space="preserve">NFR-13</t>
  </si>
  <si>
    <t xml:space="preserve">Health endpoint + ErrorLog + dashboard</t>
  </si>
  <si>
    <t xml:space="preserve">Errors captured/visible</t>
  </si>
  <si>
    <t xml:space="preserve">NFR-14</t>
  </si>
  <si>
    <t xml:space="preserve">Deploy/Rollback</t>
  </si>
  <si>
    <t xml:space="preserve">fix-prod.sh deploy + rollback</t>
  </si>
  <si>
    <t xml:space="preserve">Build ok; restore works</t>
  </si>
  <si>
    <t xml:space="preserve">NFR-15</t>
  </si>
  <si>
    <t xml:space="preserve">₹ / IST / +91 / pincode formats</t>
  </si>
  <si>
    <t xml:space="preserve">India-correct</t>
  </si>
  <si>
    <t xml:space="preserve">User Acceptance Testing (UAT)</t>
  </si>
  <si>
    <t xml:space="preserve">Business sign-off scenarios — executed by stakeholders before launch</t>
  </si>
  <si>
    <t xml:space="preserve">UAT ID</t>
  </si>
  <si>
    <t xml:space="preserve">Persona</t>
  </si>
  <si>
    <t xml:space="preserve">Business Scenario</t>
  </si>
  <si>
    <t xml:space="preserve">Steps</t>
  </si>
  <si>
    <t xml:space="preserve">Expected Business Outcome</t>
  </si>
  <si>
    <t xml:space="preserve">Result</t>
  </si>
  <si>
    <t xml:space="preserve">Tester/Stakeholder</t>
  </si>
  <si>
    <t xml:space="preserve">Sign-off Date</t>
  </si>
  <si>
    <t xml:space="preserve">UAT-01</t>
  </si>
  <si>
    <t xml:space="preserve">Order favourite meal with best discount &amp; pay online</t>
  </si>
  <si>
    <t xml:space="preserve">Browse→add→auto-offer→pay</t>
  </si>
  <si>
    <t xml:space="preserve">Order placed at correct discounted price; confirmation</t>
  </si>
  <si>
    <t xml:space="preserve">UAT-02</t>
  </si>
  <si>
    <t xml:space="preserve">Track order live and receive via OTP</t>
  </si>
  <si>
    <t xml:space="preserve">Track→rider arrives→share OTP</t>
  </si>
  <si>
    <t xml:space="preserve">Delivered; OTP works; rate order</t>
  </si>
  <si>
    <t xml:space="preserve">UAT-03</t>
  </si>
  <si>
    <t xml:space="preserve">Cancel &amp; get refunded to wallet</t>
  </si>
  <si>
    <t xml:space="preserve">Cancel eligible order</t>
  </si>
  <si>
    <t xml:space="preserve">Wallet credited instantly; visible balance</t>
  </si>
  <si>
    <t xml:space="preserve">UAT-04</t>
  </si>
  <si>
    <t xml:space="preserve">Launch a new offer &amp; see it apply</t>
  </si>
  <si>
    <t xml:space="preserve">Create offer→order as customer</t>
  </si>
  <si>
    <t xml:space="preserve">Offer live &amp; applied correctly</t>
  </si>
  <si>
    <t xml:space="preserve">UAT-05</t>
  </si>
  <si>
    <t xml:space="preserve">Run a busy lunch on the orders board</t>
  </si>
  <si>
    <t xml:space="preserve">Accept/prepare/ready multiple</t>
  </si>
  <si>
    <t xml:space="preserve">Smooth flow; no lost orders</t>
  </si>
  <si>
    <t xml:space="preserve">UAT-06</t>
  </si>
  <si>
    <t xml:space="preserve">Process incoming orders end-to-end</t>
  </si>
  <si>
    <t xml:space="preserve">Accept→preparing→ready</t>
  </si>
  <si>
    <t xml:space="preserve">KOT clear; throughput fine</t>
  </si>
  <si>
    <t xml:space="preserve">UAT-07</t>
  </si>
  <si>
    <t xml:space="preserve">Earn from a delivery incl. surge</t>
  </si>
  <si>
    <t xml:space="preserve">Online→claim→deliver in surge</t>
  </si>
  <si>
    <t xml:space="preserve">Correct payout (base+surge+tier)</t>
  </si>
  <si>
    <t xml:space="preserve">UAT-08</t>
  </si>
  <si>
    <t xml:space="preserve">Complete KYC and request payout</t>
  </si>
  <si>
    <t xml:space="preserve">Upload docs→approved→payout</t>
  </si>
  <si>
    <t xml:space="preserve">KYC approved; payout processed</t>
  </si>
  <si>
    <t xml:space="preserve">UAT-09</t>
  </si>
  <si>
    <t xml:space="preserve">Onboard a restaurant &amp; rider</t>
  </si>
  <si>
    <t xml:space="preserve">Approve restaurant &amp; rider</t>
  </si>
  <si>
    <t xml:space="preserve">Both live &amp; operational</t>
  </si>
  <si>
    <t xml:space="preserve">UAT-10</t>
  </si>
  <si>
    <t xml:space="preserve">Handle a refund &amp; suspension</t>
  </si>
  <si>
    <t xml:space="preserve">Refund order; suspend abuser</t>
  </si>
  <si>
    <t xml:space="preserve">Refund correct; user blocked</t>
  </si>
  <si>
    <t xml:space="preserve">UAT-11</t>
  </si>
  <si>
    <t xml:space="preserve">Configure rider incentive &amp; verify payout</t>
  </si>
  <si>
    <t xml:space="preserve">Create slab→rider hits target</t>
  </si>
  <si>
    <t xml:space="preserve">Bonus paid once; visible</t>
  </si>
  <si>
    <t xml:space="preserve">UAT-12</t>
  </si>
  <si>
    <t xml:space="preserve">Business</t>
  </si>
  <si>
    <t xml:space="preserve">Reporting reflects real activity</t>
  </si>
  <si>
    <t xml:space="preserve">Open reports/dashboards</t>
  </si>
  <si>
    <t xml:space="preserve">Figures reconcile with operations</t>
  </si>
  <si>
    <t xml:space="preserve">Requirements Traceability Matrix</t>
  </si>
  <si>
    <t xml:space="preserve">Maps business use cases &amp; scenarios → test cases (coverage proof). Target: 100% coverage.</t>
  </si>
  <si>
    <t xml:space="preserve">Req / UC ID</t>
  </si>
  <si>
    <t xml:space="preserve">Requirement / Use Case</t>
  </si>
  <si>
    <t xml:space="preserve">Test Scenario(s)</t>
  </si>
  <si>
    <t xml:space="preserve">Test Case Prefix</t>
  </si>
  <si>
    <t xml:space="preserve">Test Type(s)</t>
  </si>
  <si>
    <t xml:space="preserve">Covered?</t>
  </si>
  <si>
    <t xml:space="preserve">SC-DISC-01,SC-CART-01,SC-CHK-01</t>
  </si>
  <si>
    <t xml:space="preserve">TC-WEB,TC-OFR,TC-CHK</t>
  </si>
  <si>
    <t xml:space="preserve">Functional,Black Box</t>
  </si>
  <si>
    <t xml:space="preserve">SC-CHK-01,SC-CHK-02</t>
  </si>
  <si>
    <t xml:space="preserve">TC-CHK,TC-RES</t>
  </si>
  <si>
    <t xml:space="preserve">Promotions/savings</t>
  </si>
  <si>
    <t xml:space="preserve">SC-CART-01,SC-CART-02</t>
  </si>
  <si>
    <t xml:space="preserve">Functional,White Box</t>
  </si>
  <si>
    <t xml:space="preserve">Track &amp; receive</t>
  </si>
  <si>
    <t xml:space="preserve">SC-ORD-01,SC-RID-01</t>
  </si>
  <si>
    <t xml:space="preserve">TC-ORD,TC-RID</t>
  </si>
  <si>
    <t xml:space="preserve">Functional,Grey Box</t>
  </si>
  <si>
    <t xml:space="preserve">TC-PAY,TC-SUP</t>
  </si>
  <si>
    <t xml:space="preserve">SC-ADM-01,SC-ADM-02,SC-ADM-03</t>
  </si>
  <si>
    <t xml:space="preserve">SC-ORD-01,SC-ADM-01</t>
  </si>
  <si>
    <t xml:space="preserve">TC-ORD,TC-ADM</t>
  </si>
  <si>
    <t xml:space="preserve">Kitchen fulfil</t>
  </si>
  <si>
    <t xml:space="preserve">Rider earn</t>
  </si>
  <si>
    <t xml:space="preserve">SC-RID-01,SC-RID-03,SC-RID-04</t>
  </si>
  <si>
    <t xml:space="preserve">Rider money/KYC</t>
  </si>
  <si>
    <t xml:space="preserve">TC-RID,TC-SUP</t>
  </si>
  <si>
    <t xml:space="preserve">Rider safety</t>
  </si>
  <si>
    <t xml:space="preserve">SC-SUP-01,SC-AUTH-03</t>
  </si>
  <si>
    <t xml:space="preserve">TC-SUP,TC-AUTH</t>
  </si>
  <si>
    <t xml:space="preserve">Functional,Security</t>
  </si>
  <si>
    <t xml:space="preserve">Money &amp; user control</t>
  </si>
  <si>
    <t xml:space="preserve">TC-SUP,TC-PAY</t>
  </si>
  <si>
    <t xml:space="preserve">SC-SUP-03,SC-RID-03</t>
  </si>
  <si>
    <t xml:space="preserve">TC-SUP,TC-RID</t>
  </si>
  <si>
    <t xml:space="preserve">NFR</t>
  </si>
  <si>
    <t xml:space="preserve">TC-TEC</t>
  </si>
  <si>
    <t xml:space="preserve">Performance,Compatibility,API</t>
  </si>
  <si>
    <t xml:space="preserve">SEC</t>
  </si>
  <si>
    <t xml:space="preserve">TC-SEC</t>
  </si>
  <si>
    <t xml:space="preserve">DATA</t>
  </si>
  <si>
    <t xml:space="preserve">Data integrity</t>
  </si>
  <si>
    <t xml:space="preserve">TC-DB</t>
  </si>
  <si>
    <t xml:space="preserve">Defect Log</t>
  </si>
  <si>
    <t xml:space="preserve">Template for logging, triaging and tracking defects (one row per defect)</t>
  </si>
  <si>
    <t xml:space="preserve">Defect ID</t>
  </si>
  <si>
    <t xml:space="preserve">Date</t>
  </si>
  <si>
    <t xml:space="preserve">Related TC ID</t>
  </si>
  <si>
    <t xml:space="preserve">Summary</t>
  </si>
  <si>
    <t xml:space="preserve">Steps to Reproduce</t>
  </si>
  <si>
    <t xml:space="preserve">Severity</t>
  </si>
  <si>
    <t xml:space="preserve">Environment</t>
  </si>
  <si>
    <t xml:space="preserve">Assigned To</t>
  </si>
  <si>
    <t xml:space="preserve">Resolution / Notes</t>
  </si>
  <si>
    <t xml:space="preserve">DEF-001</t>
  </si>
  <si>
    <t xml:space="preserve">Example: Offers</t>
  </si>
  <si>
    <t xml:space="preserve">TC-OFR-001</t>
  </si>
  <si>
    <t xml:space="preserve">BOGO not applied for 2x item A</t>
  </si>
  <si>
    <t xml:space="preserve">1) add 2x A 2) open cart</t>
  </si>
  <si>
    <t xml:space="preserve">S2-Major</t>
  </si>
  <si>
    <t xml:space="preserve">Open</t>
  </si>
  <si>
    <t xml:space="preserve">Severity: S1 Critical · S2 Major · S3 Minor · S4 Cosmetic   |   Priority: P1 Critical · P2 High · P3 Medium · P4 Low   |   Status: Open · In-Progress · Fixed · Retest · Closed · Deferred · Rejected</t>
  </si>
  <si>
    <t xml:space="preserve">Test Environment &amp; Test Data</t>
  </si>
  <si>
    <t xml:space="preserve">Environments, access, seeded test data and management notes.</t>
  </si>
  <si>
    <t xml:space="preserve">Item</t>
  </si>
  <si>
    <t xml:space="preserve">Detail</t>
  </si>
  <si>
    <t xml:space="preserve">Notes</t>
  </si>
  <si>
    <t xml:space="preserve">Local (dev) · Staging · Production (https://flavrly.in)</t>
  </si>
  <si>
    <t xml:space="preserve">Test on staging; smoke on prod post-deploy</t>
  </si>
  <si>
    <t xml:space="preserve">Web app</t>
  </si>
  <si>
    <t xml:space="preserve">Next.js on VPS :3000 behind nginx; PM2 rm-web</t>
  </si>
  <si>
    <t xml:space="preserve">Health: /api/system/health</t>
  </si>
  <si>
    <t xml:space="preserve">Android APK com.flavrly.rider (sideload for QA)</t>
  </si>
  <si>
    <t xml:space="preserve">Points to https://flavrly.in</t>
  </si>
  <si>
    <t xml:space="preserve">PostgreSQL via Prisma</t>
  </si>
  <si>
    <t xml:space="preserve">Use isolated test DB for destructive cases</t>
  </si>
  <si>
    <t xml:space="preserve">Seeded restaurant</t>
  </si>
  <si>
    <t xml:space="preserve">Combo Nation (admin@restaurant.local / Admin@12345)</t>
  </si>
  <si>
    <t xml:space="preserve">ACTIVE; 17 items + 1 combo</t>
  </si>
  <si>
    <t xml:space="preserve">Seeded customers</t>
  </si>
  <si>
    <t xml:space="preserve">+919876500001 (Priya) · +919876500002 (Rahul)</t>
  </si>
  <si>
    <t xml:space="preserve">OTP in demo mode shown in logs</t>
  </si>
  <si>
    <t xml:space="preserve">Seeded riders</t>
  </si>
  <si>
    <t xml:space="preserve">+919876500011 (Sandeep K.) · +919876500012 (Imran S.)</t>
  </si>
  <si>
    <t xml:space="preserve">Approved; dedicated/fleet per rider-features seed</t>
  </si>
  <si>
    <t xml:space="preserve">KYC test data</t>
  </si>
  <si>
    <t xml:space="preserve">Riders with full KYC (Aadhaar/DL/Insurance APPROVED) via cuisines seed</t>
  </si>
  <si>
    <t xml:space="preserve">Demo images under /demo/kyc</t>
  </si>
  <si>
    <t xml:space="preserve">OTP delivery</t>
  </si>
  <si>
    <t xml:space="preserve">Demo mode (OTP in API/log) until OTP_DEMO_MODE=false + 2Factor configured</t>
  </si>
  <si>
    <t xml:space="preserve">Read code from pm2 logs rm-web</t>
  </si>
  <si>
    <t xml:space="preserve">Razorpay test mode for online; COD always available</t>
  </si>
  <si>
    <t xml:space="preserve">Use test cards on staging</t>
  </si>
  <si>
    <t xml:space="preserve">Pre-req commands</t>
  </si>
  <si>
    <t xml:space="preserve">Seed: npm run db:seed · rider features: npm run db:seed:rider-features</t>
  </si>
  <si>
    <t xml:space="preserve">Run on staging only</t>
  </si>
  <si>
    <t xml:space="preserve">PII handling</t>
  </si>
  <si>
    <t xml:space="preserve">Mask phone/KYC/address in evidence; do not export real PII</t>
  </si>
  <si>
    <t xml:space="preserve">Compliance</t>
  </si>
  <si>
    <t xml:space="preserve">Roster query</t>
  </si>
  <si>
    <t xml:space="preserve">psql query on RiderProfile+User+Restaurant+RiderKycDocument</t>
  </si>
  <si>
    <t xml:space="preserve">See QA runbook for SQL</t>
  </si>
  <si>
    <t xml:space="preserve">Entry / Exit Criteria &amp; Release Sign-off</t>
  </si>
  <si>
    <t xml:space="preserve">Gate conditions for each test phase and final release readiness.</t>
  </si>
  <si>
    <t xml:space="preserve">Phase</t>
  </si>
  <si>
    <t xml:space="preserve">Build deployed; env up; health green</t>
  </si>
  <si>
    <t xml:space="preserve">All smoke cases pass; else reject build</t>
  </si>
  <si>
    <t xml:space="preserve">Functional/System</t>
  </si>
  <si>
    <t xml:space="preserve">Smoke passed; test data ready; AC defined</t>
  </si>
  <si>
    <t xml:space="preserve">All P1 pass; P2 ≥95%; no open P1 defects</t>
  </si>
  <si>
    <t xml:space="preserve">Code freeze for the release; suite ready</t>
  </si>
  <si>
    <t xml:space="preserve">Regression P1/P2 pass; no new regressions</t>
  </si>
  <si>
    <t xml:space="preserve">Functional stable; scan tools ready</t>
  </si>
  <si>
    <t xml:space="preserve">Zero open P1 security defects</t>
  </si>
  <si>
    <t xml:space="preserve">Migrations available; test DB ready</t>
  </si>
  <si>
    <t xml:space="preserve">Integrity/precision/idempotency checks pass</t>
  </si>
  <si>
    <t xml:space="preserve">Staging stable with representative data</t>
  </si>
  <si>
    <t xml:space="preserve">Latency/throughput targets met</t>
  </si>
  <si>
    <t xml:space="preserve">System test complete; UAT data ready</t>
  </si>
  <si>
    <t xml:space="preserve">Stakeholder sign-off on all UAT scenarios</t>
  </si>
  <si>
    <t xml:space="preserve">Release</t>
  </si>
  <si>
    <t xml:space="preserve">All above met; RTM 100%</t>
  </si>
  <si>
    <t xml:space="preserve">QA Lead + PO sign-off; 0 open P1/P2; deploy + post-deploy smoke green</t>
  </si>
</sst>
</file>

<file path=xl/styles.xml><?xml version="1.0" encoding="utf-8"?>
<styleSheet xmlns="http://schemas.openxmlformats.org/spreadsheetml/2006/main">
  <numFmts count="1">
    <numFmt numFmtId="164" formatCode="General"/>
  </numFmts>
  <fonts count="16">
    <font>
      <sz val="11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34"/>
      <color rgb="FFF23E5C"/>
      <name val="Arial"/>
      <family val="0"/>
      <charset val="1"/>
    </font>
    <font>
      <sz val="13"/>
      <color rgb="FF7A1F9E"/>
      <name val="Arial"/>
      <family val="0"/>
      <charset val="1"/>
    </font>
    <font>
      <b val="true"/>
      <sz val="18"/>
      <color rgb="FF1A0F16"/>
      <name val="Arial"/>
      <family val="0"/>
      <charset val="1"/>
    </font>
    <font>
      <sz val="11"/>
      <color rgb="FF595959"/>
      <name val="Arial"/>
      <family val="0"/>
      <charset val="1"/>
    </font>
    <font>
      <b val="true"/>
      <sz val="10"/>
      <color rgb="FF1A0F16"/>
      <name val="Arial"/>
      <family val="0"/>
      <charset val="1"/>
    </font>
    <font>
      <sz val="10"/>
      <color rgb="FF000000"/>
      <name val="Arial"/>
      <family val="0"/>
      <charset val="1"/>
    </font>
    <font>
      <sz val="9"/>
      <color rgb="FF595959"/>
      <name val="Arial"/>
      <family val="0"/>
      <charset val="1"/>
    </font>
    <font>
      <b val="true"/>
      <sz val="16"/>
      <color rgb="FFFFFFFF"/>
      <name val="Arial"/>
      <family val="0"/>
      <charset val="1"/>
    </font>
    <font>
      <sz val="10"/>
      <color rgb="FF595959"/>
      <name val="Arial"/>
      <family val="0"/>
      <charset val="1"/>
    </font>
    <font>
      <b val="true"/>
      <sz val="10"/>
      <color rgb="FFFFFFFF"/>
      <name val="Arial"/>
      <family val="0"/>
      <charset val="1"/>
    </font>
    <font>
      <b val="true"/>
      <sz val="11"/>
      <color rgb="FFF23E5C"/>
      <name val="Arial"/>
      <family val="0"/>
      <charset val="1"/>
    </font>
    <font>
      <b val="true"/>
      <sz val="10"/>
      <color rgb="FF000000"/>
      <name val="Arial"/>
      <family val="0"/>
      <charset val="1"/>
    </font>
  </fonts>
  <fills count="4">
    <fill>
      <patternFill patternType="none"/>
    </fill>
    <fill>
      <patternFill patternType="gray125"/>
    </fill>
    <fill>
      <patternFill patternType="solid">
        <fgColor rgb="FFF23E5C"/>
        <bgColor rgb="FF993366"/>
      </patternFill>
    </fill>
    <fill>
      <patternFill patternType="solid">
        <fgColor rgb="FFFCEEF1"/>
        <bgColor rgb="FFFFFFFF"/>
      </patternFill>
    </fill>
  </fills>
  <borders count="2">
    <border diagonalUp="false" diagonalDown="false">
      <left/>
      <right/>
      <top/>
      <bottom/>
      <diagonal/>
    </border>
    <border diagonalUp="false" diagonalDown="false">
      <left style="thin">
        <color rgb="FFD9D9D9"/>
      </left>
      <right style="thin">
        <color rgb="FFD9D9D9"/>
      </right>
      <top style="thin">
        <color rgb="FFD9D9D9"/>
      </top>
      <bottom style="thin">
        <color rgb="FFD9D9D9"/>
      </bottom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17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0" borderId="0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5" fillId="0" borderId="0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6" fillId="0" borderId="0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7" fillId="0" borderId="0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8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9" fillId="0" borderId="0" xfId="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64" fontId="10" fillId="0" borderId="0" xfId="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64" fontId="11" fillId="2" borderId="0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4" fontId="12" fillId="0" borderId="0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4" fontId="13" fillId="2" borderId="1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4" fontId="9" fillId="0" borderId="1" xfId="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64" fontId="9" fillId="3" borderId="1" xfId="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64" fontId="14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15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9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10" fillId="0" borderId="0" xfId="0" applyFont="true" applyBorder="true" applyAlignment="false" applyProtection="false">
      <alignment horizontal="general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dxfs count="5">
    <dxf>
      <fill>
        <patternFill patternType="solid">
          <fgColor rgb="FFF23E5C"/>
          <bgColor rgb="FF000000"/>
        </patternFill>
      </fill>
    </dxf>
    <dxf>
      <fill>
        <patternFill patternType="solid">
          <fgColor rgb="FFFCEEF1"/>
          <bgColor rgb="FF000000"/>
        </patternFill>
      </fill>
    </dxf>
    <dxf>
      <fill>
        <patternFill patternType="solid">
          <bgColor rgb="FF000000"/>
        </patternFill>
      </fill>
    </dxf>
    <dxf>
      <fill>
        <patternFill patternType="solid">
          <fgColor rgb="FF000000"/>
          <bgColor rgb="FF000000"/>
        </patternFill>
      </fill>
    </dxf>
    <dxf>
      <fill>
        <patternFill patternType="solid">
          <fgColor rgb="FFFFFFFF"/>
          <bgColor rgb="FF000000"/>
        </patternFill>
      </fill>
    </dxf>
  </dxf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7A1F9E"/>
      <rgbColor rgb="FF008080"/>
      <rgbColor rgb="FFC0C0C0"/>
      <rgbColor rgb="FF808080"/>
      <rgbColor rgb="FF9999FF"/>
      <rgbColor rgb="FF993366"/>
      <rgbColor rgb="FFFCEEF1"/>
      <rgbColor rgb="FFCCFFFF"/>
      <rgbColor rgb="FF660066"/>
      <rgbColor rgb="FFFF8080"/>
      <rgbColor rgb="FF0066CC"/>
      <rgbColor rgb="FFD9D9D9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F23E5C"/>
      <rgbColor rgb="FF595959"/>
      <rgbColor rgb="FF969696"/>
      <rgbColor rgb="FF003366"/>
      <rgbColor rgb="FF339966"/>
      <rgbColor rgb="FF003300"/>
      <rgbColor rgb="FF1A0F16"/>
      <rgbColor rgb="FF993300"/>
      <rgbColor rgb="FF993366"/>
      <rgbColor rgb="FF333399"/>
      <rgbColor rgb="FF333333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worksheet" Target="worksheets/sheet3.xml"/><Relationship Id="rId6" Type="http://schemas.openxmlformats.org/officeDocument/2006/relationships/worksheet" Target="worksheets/sheet4.xml"/><Relationship Id="rId7" Type="http://schemas.openxmlformats.org/officeDocument/2006/relationships/worksheet" Target="worksheets/sheet5.xml"/><Relationship Id="rId8" Type="http://schemas.openxmlformats.org/officeDocument/2006/relationships/worksheet" Target="worksheets/sheet6.xml"/><Relationship Id="rId9" Type="http://schemas.openxmlformats.org/officeDocument/2006/relationships/worksheet" Target="worksheets/sheet7.xml"/><Relationship Id="rId10" Type="http://schemas.openxmlformats.org/officeDocument/2006/relationships/worksheet" Target="worksheets/sheet8.xml"/><Relationship Id="rId11" Type="http://schemas.openxmlformats.org/officeDocument/2006/relationships/worksheet" Target="worksheets/sheet9.xml"/><Relationship Id="rId12" Type="http://schemas.openxmlformats.org/officeDocument/2006/relationships/worksheet" Target="worksheets/sheet10.xml"/><Relationship Id="rId13" Type="http://schemas.openxmlformats.org/officeDocument/2006/relationships/worksheet" Target="worksheets/sheet11.xml"/><Relationship Id="rId14" Type="http://schemas.openxmlformats.org/officeDocument/2006/relationships/worksheet" Target="worksheets/sheet12.xml"/><Relationship Id="rId15" Type="http://schemas.openxmlformats.org/officeDocument/2006/relationships/worksheet" Target="worksheets/sheet13.xml"/><Relationship Id="rId16" Type="http://schemas.openxmlformats.org/officeDocument/2006/relationships/worksheet" Target="worksheets/sheet14.xml"/><Relationship Id="rId17" Type="http://schemas.openxmlformats.org/officeDocument/2006/relationships/worksheet" Target="worksheets/sheet15.xml"/><Relationship Id="rId18" Type="http://schemas.openxmlformats.org/officeDocument/2006/relationships/worksheet" Target="worksheets/sheet16.xml"/><Relationship Id="rId19" Type="http://schemas.openxmlformats.org/officeDocument/2006/relationships/worksheet" Target="worksheets/sheet17.xml"/><Relationship Id="rId20" Type="http://schemas.openxmlformats.org/officeDocument/2006/relationships/worksheet" Target="worksheets/sheet18.xml"/><Relationship Id="rId21" Type="http://schemas.openxmlformats.org/officeDocument/2006/relationships/worksheet" Target="worksheets/sheet19.xml"/><Relationship Id="rId22" Type="http://schemas.openxmlformats.org/officeDocument/2006/relationships/worksheet" Target="worksheets/sheet20.xml"/><Relationship Id="rId23" Type="http://schemas.openxmlformats.org/officeDocument/2006/relationships/worksheet" Target="worksheets/sheet21.xml"/><Relationship Id="rId24" Type="http://schemas.openxmlformats.org/officeDocument/2006/relationships/sharedStrings" Target="sharedStrings.xml"/>
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/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/>
</file>

<file path=xl/drawings/drawing5.xml><?xml version="1.0" encoding="utf-8"?>
<xdr:wsDr xmlns:xdr="http://schemas.openxmlformats.org/drawingml/2006/spreadsheetDrawing" xmlns:a="http://schemas.openxmlformats.org/drawingml/2006/main" xmlns:r="http://schemas.openxmlformats.org/officeDocument/2006/relationships"/>
</file>

<file path=xl/drawings/drawing6.xml><?xml version="1.0" encoding="utf-8"?>
<xdr:wsDr xmlns:xdr="http://schemas.openxmlformats.org/drawingml/2006/spreadsheetDrawing" xmlns:a="http://schemas.openxmlformats.org/drawingml/2006/main" xmlns:r="http://schemas.openxmlformats.org/officeDocument/2006/relationships"/>
</file>

<file path=xl/drawings/drawing7.xml><?xml version="1.0" encoding="utf-8"?>
<xdr:wsDr xmlns:xdr="http://schemas.openxmlformats.org/drawingml/2006/spreadsheetDrawing" xmlns:a="http://schemas.openxmlformats.org/drawingml/2006/main" xmlns:r="http://schemas.openxmlformats.org/officeDocument/2006/relationships"/>
</file>

<file path=xl/drawings/drawing8.xml><?xml version="1.0" encoding="utf-8"?>
<xdr:wsDr xmlns:xdr="http://schemas.openxmlformats.org/drawingml/2006/spreadsheetDrawing" xmlns:a="http://schemas.openxmlformats.org/drawingml/2006/main" xmlns:r="http://schemas.openxmlformats.org/officeDocument/2006/relationships"/>
</file>

<file path=xl/drawings/drawing9.xml><?xml version="1.0" encoding="utf-8"?>
<xdr:wsDr xmlns:xdr="http://schemas.openxmlformats.org/drawingml/2006/spreadsheetDrawing" xmlns:a="http://schemas.openxmlformats.org/drawingml/2006/main" xmlns:r="http://schemas.openxmlformats.org/officeDocument/2006/relationships"/>
</file>

<file path=xl/drawings/drawing10.xml><?xml version="1.0" encoding="utf-8"?>
<xdr:wsDr xmlns:xdr="http://schemas.openxmlformats.org/drawingml/2006/spreadsheetDrawing" xmlns:a="http://schemas.openxmlformats.org/drawingml/2006/main" xmlns:r="http://schemas.openxmlformats.org/officeDocument/2006/relationships"/>
</file>

<file path=xl/drawings/drawing11.xml><?xml version="1.0" encoding="utf-8"?>
<xdr:wsDr xmlns:xdr="http://schemas.openxmlformats.org/drawingml/2006/spreadsheetDrawing" xmlns:a="http://schemas.openxmlformats.org/drawingml/2006/main" xmlns:r="http://schemas.openxmlformats.org/officeDocument/2006/relationships"/>
</file>

<file path=xl/drawings/drawing12.xml><?xml version="1.0" encoding="utf-8"?>
<xdr:wsDr xmlns:xdr="http://schemas.openxmlformats.org/drawingml/2006/spreadsheetDrawing" xmlns:a="http://schemas.openxmlformats.org/drawingml/2006/main" xmlns:r="http://schemas.openxmlformats.org/officeDocument/2006/relationships"/>
</file>

<file path=xl/drawings/drawing13.xml><?xml version="1.0" encoding="utf-8"?>
<xdr:wsDr xmlns:xdr="http://schemas.openxmlformats.org/drawingml/2006/spreadsheetDrawing" xmlns:a="http://schemas.openxmlformats.org/drawingml/2006/main" xmlns:r="http://schemas.openxmlformats.org/officeDocument/2006/relationships"/>
</file>

<file path=xl/drawings/drawing14.xml><?xml version="1.0" encoding="utf-8"?>
<xdr:wsDr xmlns:xdr="http://schemas.openxmlformats.org/drawingml/2006/spreadsheetDrawing" xmlns:a="http://schemas.openxmlformats.org/drawingml/2006/main" xmlns:r="http://schemas.openxmlformats.org/officeDocument/2006/relationships"/>
</file>

<file path=xl/drawings/drawing15.xml><?xml version="1.0" encoding="utf-8"?>
<xdr:wsDr xmlns:xdr="http://schemas.openxmlformats.org/drawingml/2006/spreadsheetDrawing" xmlns:a="http://schemas.openxmlformats.org/drawingml/2006/main" xmlns:r="http://schemas.openxmlformats.org/officeDocument/2006/relationships"/>
</file>

<file path=xl/drawings/drawing16.xml><?xml version="1.0" encoding="utf-8"?>
<xdr:wsDr xmlns:xdr="http://schemas.openxmlformats.org/drawingml/2006/spreadsheetDrawing" xmlns:a="http://schemas.openxmlformats.org/drawingml/2006/main" xmlns:r="http://schemas.openxmlformats.org/officeDocument/2006/relationships"/>
</file>

<file path=xl/drawings/drawing17.xml><?xml version="1.0" encoding="utf-8"?>
<xdr:wsDr xmlns:xdr="http://schemas.openxmlformats.org/drawingml/2006/spreadsheetDrawing" xmlns:a="http://schemas.openxmlformats.org/drawingml/2006/main" xmlns:r="http://schemas.openxmlformats.org/officeDocument/2006/relationships"/>
</file>

<file path=xl/drawings/drawing18.xml><?xml version="1.0" encoding="utf-8"?>
<xdr:wsDr xmlns:xdr="http://schemas.openxmlformats.org/drawingml/2006/spreadsheetDrawing" xmlns:a="http://schemas.openxmlformats.org/drawingml/2006/main" xmlns:r="http://schemas.openxmlformats.org/officeDocument/2006/relationships"/>
</file>

<file path=xl/drawings/drawing19.xml><?xml version="1.0" encoding="utf-8"?>
<xdr:wsDr xmlns:xdr="http://schemas.openxmlformats.org/drawingml/2006/spreadsheetDrawing" xmlns:a="http://schemas.openxmlformats.org/drawingml/2006/main" xmlns:r="http://schemas.openxmlformats.org/officeDocument/2006/relationships"/>
</file>

<file path=xl/drawings/drawing20.xml><?xml version="1.0" encoding="utf-8"?>
<xdr:wsDr xmlns:xdr="http://schemas.openxmlformats.org/drawingml/2006/spreadsheetDrawing" xmlns:a="http://schemas.openxmlformats.org/drawingml/2006/main" xmlns:r="http://schemas.openxmlformats.org/officeDocument/2006/relationships"/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_rels/sheet2.xml.rels><?xml version="1.0" encoding="UTF-8"?>
<Relationships xmlns="http://schemas.openxmlformats.org/package/2006/relationships"><Relationship Id="rId1" Type="http://schemas.openxmlformats.org/officeDocument/2006/relationships/drawing" Target="../drawings/drawing1.xml"/>
</Relationships>
</file>

<file path=xl/worksheets/_rels/sheet3.xml.rels><?xml version="1.0" encoding="UTF-8"?>
<Relationships xmlns="http://schemas.openxmlformats.org/package/2006/relationships"><Relationship Id="rId1" Type="http://schemas.openxmlformats.org/officeDocument/2006/relationships/drawing" Target="../drawings/drawing2.xml"/>
</Relationships>
</file>

<file path=xl/worksheets/_rels/sheet4.xml.rels><?xml version="1.0" encoding="UTF-8"?>
<Relationships xmlns="http://schemas.openxmlformats.org/package/2006/relationships"><Relationship Id="rId1" Type="http://schemas.openxmlformats.org/officeDocument/2006/relationships/drawing" Target="../drawings/drawing3.xml"/>
</Relationships>
</file>

<file path=xl/worksheets/_rels/sheet5.xml.rels><?xml version="1.0" encoding="UTF-8"?>
<Relationships xmlns="http://schemas.openxmlformats.org/package/2006/relationships"><Relationship Id="rId1" Type="http://schemas.openxmlformats.org/officeDocument/2006/relationships/drawing" Target="../drawings/drawing4.xml"/>
</Relationships>
</file>

<file path=xl/worksheets/_rels/sheet6.xml.rels><?xml version="1.0" encoding="UTF-8"?>
<Relationships xmlns="http://schemas.openxmlformats.org/package/2006/relationships"><Relationship Id="rId1" Type="http://schemas.openxmlformats.org/officeDocument/2006/relationships/drawing" Target="../drawings/drawing5.xml"/>
</Relationships>
</file>

<file path=xl/worksheets/_rels/sheet7.xml.rels><?xml version="1.0" encoding="UTF-8"?>
<Relationships xmlns="http://schemas.openxmlformats.org/package/2006/relationships"><Relationship Id="rId1" Type="http://schemas.openxmlformats.org/officeDocument/2006/relationships/drawing" Target="../drawings/drawing6.xml"/>
</Relationships>
</file>

<file path=xl/worksheets/_rels/sheet8.xml.rels><?xml version="1.0" encoding="UTF-8"?>
<Relationships xmlns="http://schemas.openxmlformats.org/package/2006/relationships"><Relationship Id="rId1" Type="http://schemas.openxmlformats.org/officeDocument/2006/relationships/drawing" Target="../drawings/drawing7.xml"/>
</Relationships>
</file>

<file path=xl/worksheets/_rels/sheet9.xml.rels><?xml version="1.0" encoding="UTF-8"?>
<Relationships xmlns="http://schemas.openxmlformats.org/package/2006/relationships"><Relationship Id="rId1" Type="http://schemas.openxmlformats.org/officeDocument/2006/relationships/drawing" Target="../drawings/drawing8.xml"/>
</Relationships>
</file>

<file path=xl/worksheets/_rels/sheet10.xml.rels><?xml version="1.0" encoding="UTF-8"?>
<Relationships xmlns="http://schemas.openxmlformats.org/package/2006/relationships"><Relationship Id="rId1" Type="http://schemas.openxmlformats.org/officeDocument/2006/relationships/drawing" Target="../drawings/drawing9.xml"/>
</Relationships>
</file>

<file path=xl/worksheets/_rels/sheet11.xml.rels><?xml version="1.0" encoding="UTF-8"?>
<Relationships xmlns="http://schemas.openxmlformats.org/package/2006/relationships"><Relationship Id="rId1" Type="http://schemas.openxmlformats.org/officeDocument/2006/relationships/drawing" Target="../drawings/drawing10.xml"/>
</Relationships>
</file>

<file path=xl/worksheets/_rels/sheet12.xml.rels><?xml version="1.0" encoding="UTF-8"?>
<Relationships xmlns="http://schemas.openxmlformats.org/package/2006/relationships"><Relationship Id="rId1" Type="http://schemas.openxmlformats.org/officeDocument/2006/relationships/drawing" Target="../drawings/drawing11.xml"/>
</Relationships>
</file>

<file path=xl/worksheets/_rels/sheet13.xml.rels><?xml version="1.0" encoding="UTF-8"?>
<Relationships xmlns="http://schemas.openxmlformats.org/package/2006/relationships"><Relationship Id="rId1" Type="http://schemas.openxmlformats.org/officeDocument/2006/relationships/drawing" Target="../drawings/drawing12.xml"/>
</Relationships>
</file>

<file path=xl/worksheets/_rels/sheet14.xml.rels><?xml version="1.0" encoding="UTF-8"?>
<Relationships xmlns="http://schemas.openxmlformats.org/package/2006/relationships"><Relationship Id="rId1" Type="http://schemas.openxmlformats.org/officeDocument/2006/relationships/drawing" Target="../drawings/drawing13.xml"/>
</Relationships>
</file>

<file path=xl/worksheets/_rels/sheet15.xml.rels><?xml version="1.0" encoding="UTF-8"?>
<Relationships xmlns="http://schemas.openxmlformats.org/package/2006/relationships"><Relationship Id="rId1" Type="http://schemas.openxmlformats.org/officeDocument/2006/relationships/drawing" Target="../drawings/drawing14.xml"/>
</Relationships>
</file>

<file path=xl/worksheets/_rels/sheet16.xml.rels><?xml version="1.0" encoding="UTF-8"?>
<Relationships xmlns="http://schemas.openxmlformats.org/package/2006/relationships"><Relationship Id="rId1" Type="http://schemas.openxmlformats.org/officeDocument/2006/relationships/drawing" Target="../drawings/drawing15.xml"/>
</Relationships>
</file>

<file path=xl/worksheets/_rels/sheet17.xml.rels><?xml version="1.0" encoding="UTF-8"?>
<Relationships xmlns="http://schemas.openxmlformats.org/package/2006/relationships"><Relationship Id="rId1" Type="http://schemas.openxmlformats.org/officeDocument/2006/relationships/drawing" Target="../drawings/drawing16.xml"/>
</Relationships>
</file>

<file path=xl/worksheets/_rels/sheet18.xml.rels><?xml version="1.0" encoding="UTF-8"?>
<Relationships xmlns="http://schemas.openxmlformats.org/package/2006/relationships"><Relationship Id="rId1" Type="http://schemas.openxmlformats.org/officeDocument/2006/relationships/drawing" Target="../drawings/drawing17.xml"/>
</Relationships>
</file>

<file path=xl/worksheets/_rels/sheet19.xml.rels><?xml version="1.0" encoding="UTF-8"?>
<Relationships xmlns="http://schemas.openxmlformats.org/package/2006/relationships"><Relationship Id="rId1" Type="http://schemas.openxmlformats.org/officeDocument/2006/relationships/drawing" Target="../drawings/drawing18.xml"/>
</Relationships>
</file>

<file path=xl/worksheets/_rels/sheet20.xml.rels><?xml version="1.0" encoding="UTF-8"?>
<Relationships xmlns="http://schemas.openxmlformats.org/package/2006/relationships"><Relationship Id="rId1" Type="http://schemas.openxmlformats.org/officeDocument/2006/relationships/drawing" Target="../drawings/drawing19.xml"/>
</Relationships>
</file>

<file path=xl/worksheets/_rels/sheet21.xml.rels><?xml version="1.0" encoding="UTF-8"?>
<Relationships xmlns="http://schemas.openxmlformats.org/package/2006/relationships"><Relationship Id="rId1" Type="http://schemas.openxmlformats.org/officeDocument/2006/relationships/drawing" Target="../drawings/drawing20.xml"/>
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F18"/>
  <sheetViews>
    <sheetView showFormulas="false" showGridLines="fals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customHeight="false" zeroHeight="false" outlineLevelRow="0" outlineLevelCol="0"/>
  <cols>
    <col collapsed="false" customWidth="true" hidden="false" outlineLevel="0" max="1" min="1" style="0" width="18"/>
    <col collapsed="false" customWidth="true" hidden="false" outlineLevel="0" max="6" min="2" style="0" width="22"/>
  </cols>
  <sheetData>
    <row r="1" customFormat="false" ht="40.95" hidden="false" customHeight="false" outlineLevel="0" collapsed="false">
      <c r="A1" s="1" t="s">
        <v>0</v>
      </c>
      <c r="B1" s="1"/>
      <c r="C1" s="1"/>
      <c r="D1" s="1"/>
      <c r="E1" s="1"/>
      <c r="F1" s="1"/>
    </row>
    <row r="2" customFormat="false" ht="16.15" hidden="false" customHeight="false" outlineLevel="0" collapsed="false">
      <c r="A2" s="2" t="s">
        <v>1</v>
      </c>
      <c r="B2" s="2"/>
      <c r="C2" s="2"/>
      <c r="D2" s="2"/>
      <c r="E2" s="2"/>
      <c r="F2" s="2"/>
    </row>
    <row r="4" customFormat="false" ht="22.05" hidden="false" customHeight="false" outlineLevel="0" collapsed="false">
      <c r="A4" s="3" t="s">
        <v>2</v>
      </c>
      <c r="B4" s="3"/>
      <c r="C4" s="3"/>
      <c r="D4" s="3"/>
      <c r="E4" s="3"/>
      <c r="F4" s="3"/>
    </row>
    <row r="5" customFormat="false" ht="15" hidden="false" customHeight="false" outlineLevel="0" collapsed="false">
      <c r="A5" s="4" t="s">
        <v>3</v>
      </c>
      <c r="B5" s="4"/>
      <c r="C5" s="4"/>
      <c r="D5" s="4"/>
      <c r="E5" s="4"/>
      <c r="F5" s="4"/>
    </row>
    <row r="7" customFormat="false" ht="15" hidden="false" customHeight="true" outlineLevel="0" collapsed="false">
      <c r="A7" s="5" t="s">
        <v>4</v>
      </c>
      <c r="B7" s="6" t="s">
        <v>5</v>
      </c>
      <c r="C7" s="6"/>
      <c r="D7" s="6"/>
      <c r="E7" s="6"/>
      <c r="F7" s="6"/>
    </row>
    <row r="8" customFormat="false" ht="15" hidden="false" customHeight="true" outlineLevel="0" collapsed="false">
      <c r="A8" s="5" t="s">
        <v>6</v>
      </c>
      <c r="B8" s="6" t="s">
        <v>7</v>
      </c>
      <c r="C8" s="6"/>
      <c r="D8" s="6"/>
      <c r="E8" s="6"/>
      <c r="F8" s="6"/>
    </row>
    <row r="9" customFormat="false" ht="15" hidden="false" customHeight="true" outlineLevel="0" collapsed="false">
      <c r="A9" s="5" t="s">
        <v>8</v>
      </c>
      <c r="B9" s="6" t="s">
        <v>9</v>
      </c>
      <c r="C9" s="6"/>
      <c r="D9" s="6"/>
      <c r="E9" s="6"/>
      <c r="F9" s="6"/>
    </row>
    <row r="10" customFormat="false" ht="15" hidden="false" customHeight="true" outlineLevel="0" collapsed="false">
      <c r="A10" s="5" t="s">
        <v>10</v>
      </c>
      <c r="B10" s="6" t="s">
        <v>11</v>
      </c>
      <c r="C10" s="6"/>
      <c r="D10" s="6"/>
      <c r="E10" s="6"/>
      <c r="F10" s="6"/>
    </row>
    <row r="11" customFormat="false" ht="15" hidden="false" customHeight="true" outlineLevel="0" collapsed="false">
      <c r="A11" s="5" t="s">
        <v>12</v>
      </c>
      <c r="B11" s="6" t="s">
        <v>13</v>
      </c>
      <c r="C11" s="6"/>
      <c r="D11" s="6"/>
      <c r="E11" s="6"/>
      <c r="F11" s="6"/>
    </row>
    <row r="12" customFormat="false" ht="15" hidden="false" customHeight="true" outlineLevel="0" collapsed="false">
      <c r="A12" s="5" t="s">
        <v>14</v>
      </c>
      <c r="B12" s="6" t="s">
        <v>15</v>
      </c>
      <c r="C12" s="6"/>
      <c r="D12" s="6"/>
      <c r="E12" s="6"/>
      <c r="F12" s="6"/>
    </row>
    <row r="13" customFormat="false" ht="15" hidden="false" customHeight="true" outlineLevel="0" collapsed="false">
      <c r="A13" s="5" t="s">
        <v>16</v>
      </c>
      <c r="B13" s="6" t="s">
        <v>17</v>
      </c>
      <c r="C13" s="6"/>
      <c r="D13" s="6"/>
      <c r="E13" s="6"/>
      <c r="F13" s="6"/>
    </row>
    <row r="14" customFormat="false" ht="15" hidden="false" customHeight="true" outlineLevel="0" collapsed="false">
      <c r="A14" s="5" t="s">
        <v>18</v>
      </c>
      <c r="B14" s="6" t="s">
        <v>19</v>
      </c>
      <c r="C14" s="6"/>
      <c r="D14" s="6"/>
      <c r="E14" s="6"/>
      <c r="F14" s="6"/>
    </row>
    <row r="15" customFormat="false" ht="15" hidden="false" customHeight="true" outlineLevel="0" collapsed="false">
      <c r="A15" s="5" t="s">
        <v>20</v>
      </c>
      <c r="B15" s="6" t="s">
        <v>21</v>
      </c>
      <c r="C15" s="6"/>
      <c r="D15" s="6"/>
      <c r="E15" s="6"/>
      <c r="F15" s="6"/>
    </row>
    <row r="16" customFormat="false" ht="15" hidden="false" customHeight="true" outlineLevel="0" collapsed="false">
      <c r="A16" s="5" t="s">
        <v>22</v>
      </c>
      <c r="B16" s="6" t="s">
        <v>23</v>
      </c>
      <c r="C16" s="6"/>
      <c r="D16" s="6"/>
      <c r="E16" s="6"/>
      <c r="F16" s="6"/>
    </row>
    <row r="18" customFormat="false" ht="60" hidden="false" customHeight="true" outlineLevel="0" collapsed="false">
      <c r="A18" s="7" t="s">
        <v>24</v>
      </c>
      <c r="B18" s="7"/>
      <c r="C18" s="7"/>
      <c r="D18" s="7"/>
      <c r="E18" s="7"/>
      <c r="F18" s="7"/>
    </row>
  </sheetData>
  <mergeCells count="15">
    <mergeCell ref="A1:F1"/>
    <mergeCell ref="A2:F2"/>
    <mergeCell ref="A4:F4"/>
    <mergeCell ref="A5:F5"/>
    <mergeCell ref="B7:F7"/>
    <mergeCell ref="B8:F8"/>
    <mergeCell ref="B9:F9"/>
    <mergeCell ref="B10:F10"/>
    <mergeCell ref="B11:F11"/>
    <mergeCell ref="B12:F12"/>
    <mergeCell ref="B13:F13"/>
    <mergeCell ref="B14:F14"/>
    <mergeCell ref="B15:F15"/>
    <mergeCell ref="B16:F16"/>
    <mergeCell ref="A18:F18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D19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4" topLeftCell="A5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customHeight="false" zeroHeight="false" outlineLevelRow="0" outlineLevelCol="0"/>
  <cols>
    <col collapsed="false" customWidth="true" hidden="false" outlineLevel="0" max="1" min="1" style="0" width="18"/>
    <col collapsed="false" customWidth="true" hidden="false" outlineLevel="0" max="3" min="2" style="0" width="40"/>
    <col collapsed="false" customWidth="true" hidden="false" outlineLevel="0" max="4" min="4" style="0" width="52"/>
  </cols>
  <sheetData>
    <row r="1" customFormat="false" ht="30" hidden="false" customHeight="true" outlineLevel="0" collapsed="false">
      <c r="A1" s="8" t="s">
        <v>25</v>
      </c>
      <c r="B1" s="8"/>
      <c r="C1" s="8"/>
      <c r="D1" s="8"/>
    </row>
    <row r="2" customFormat="false" ht="18" hidden="false" customHeight="true" outlineLevel="0" collapsed="false">
      <c r="A2" s="9" t="s">
        <v>26</v>
      </c>
      <c r="B2" s="9"/>
      <c r="C2" s="9"/>
      <c r="D2" s="9"/>
    </row>
    <row r="4" customFormat="false" ht="27.75" hidden="false" customHeight="true" outlineLevel="0" collapsed="false">
      <c r="A4" s="10" t="s">
        <v>27</v>
      </c>
      <c r="B4" s="10" t="s">
        <v>28</v>
      </c>
      <c r="C4" s="10" t="s">
        <v>29</v>
      </c>
      <c r="D4" s="10" t="s">
        <v>30</v>
      </c>
    </row>
    <row r="5" customFormat="false" ht="23.85" hidden="false" customHeight="false" outlineLevel="0" collapsed="false">
      <c r="A5" s="11" t="s">
        <v>31</v>
      </c>
      <c r="B5" s="11" t="s">
        <v>32</v>
      </c>
      <c r="C5" s="11" t="s">
        <v>33</v>
      </c>
      <c r="D5" s="11" t="s">
        <v>34</v>
      </c>
    </row>
    <row r="6" customFormat="false" ht="15" hidden="false" customHeight="false" outlineLevel="0" collapsed="false">
      <c r="A6" s="12" t="s">
        <v>35</v>
      </c>
      <c r="B6" s="12" t="s">
        <v>36</v>
      </c>
      <c r="C6" s="12" t="s">
        <v>37</v>
      </c>
      <c r="D6" s="12" t="s">
        <v>38</v>
      </c>
    </row>
    <row r="7" customFormat="false" ht="23.85" hidden="false" customHeight="false" outlineLevel="0" collapsed="false">
      <c r="A7" s="11" t="s">
        <v>39</v>
      </c>
      <c r="B7" s="11" t="s">
        <v>40</v>
      </c>
      <c r="C7" s="11" t="s">
        <v>41</v>
      </c>
      <c r="D7" s="11" t="s">
        <v>42</v>
      </c>
    </row>
    <row r="8" customFormat="false" ht="23.85" hidden="false" customHeight="false" outlineLevel="0" collapsed="false">
      <c r="A8" s="12" t="s">
        <v>43</v>
      </c>
      <c r="B8" s="12" t="s">
        <v>44</v>
      </c>
      <c r="C8" s="12" t="s">
        <v>45</v>
      </c>
      <c r="D8" s="12" t="s">
        <v>46</v>
      </c>
    </row>
    <row r="9" customFormat="false" ht="23.85" hidden="false" customHeight="false" outlineLevel="0" collapsed="false">
      <c r="A9" s="11" t="s">
        <v>47</v>
      </c>
      <c r="B9" s="11" t="s">
        <v>48</v>
      </c>
      <c r="C9" s="11" t="s">
        <v>49</v>
      </c>
      <c r="D9" s="11" t="s">
        <v>50</v>
      </c>
    </row>
    <row r="10" customFormat="false" ht="23.85" hidden="false" customHeight="false" outlineLevel="0" collapsed="false">
      <c r="A10" s="12" t="s">
        <v>51</v>
      </c>
      <c r="B10" s="12" t="s">
        <v>52</v>
      </c>
      <c r="C10" s="12" t="s">
        <v>53</v>
      </c>
      <c r="D10" s="12" t="s">
        <v>54</v>
      </c>
    </row>
    <row r="11" customFormat="false" ht="15" hidden="false" customHeight="false" outlineLevel="0" collapsed="false">
      <c r="A11" s="11" t="s">
        <v>55</v>
      </c>
      <c r="B11" s="11" t="s">
        <v>56</v>
      </c>
      <c r="C11" s="11" t="s">
        <v>57</v>
      </c>
      <c r="D11" s="11" t="s">
        <v>58</v>
      </c>
    </row>
    <row r="12" customFormat="false" ht="23.85" hidden="false" customHeight="false" outlineLevel="0" collapsed="false">
      <c r="A12" s="12" t="s">
        <v>59</v>
      </c>
      <c r="B12" s="12" t="s">
        <v>60</v>
      </c>
      <c r="C12" s="12" t="s">
        <v>61</v>
      </c>
      <c r="D12" s="12" t="s">
        <v>62</v>
      </c>
    </row>
    <row r="13" customFormat="false" ht="35.05" hidden="false" customHeight="false" outlineLevel="0" collapsed="false">
      <c r="A13" s="11" t="s">
        <v>63</v>
      </c>
      <c r="B13" s="11" t="s">
        <v>64</v>
      </c>
      <c r="C13" s="11" t="s">
        <v>65</v>
      </c>
      <c r="D13" s="11" t="s">
        <v>66</v>
      </c>
    </row>
    <row r="14" customFormat="false" ht="15" hidden="false" customHeight="false" outlineLevel="0" collapsed="false">
      <c r="A14" s="12" t="s">
        <v>67</v>
      </c>
      <c r="B14" s="12" t="s">
        <v>68</v>
      </c>
      <c r="C14" s="12" t="s">
        <v>69</v>
      </c>
      <c r="D14" s="12" t="s">
        <v>70</v>
      </c>
    </row>
    <row r="15" customFormat="false" ht="23.85" hidden="false" customHeight="false" outlineLevel="0" collapsed="false">
      <c r="A15" s="11" t="s">
        <v>71</v>
      </c>
      <c r="B15" s="11" t="s">
        <v>72</v>
      </c>
      <c r="C15" s="11" t="s">
        <v>73</v>
      </c>
      <c r="D15" s="11" t="s">
        <v>74</v>
      </c>
    </row>
    <row r="16" customFormat="false" ht="23.85" hidden="false" customHeight="false" outlineLevel="0" collapsed="false">
      <c r="A16" s="12" t="s">
        <v>75</v>
      </c>
      <c r="B16" s="12" t="s">
        <v>76</v>
      </c>
      <c r="C16" s="12" t="s">
        <v>77</v>
      </c>
      <c r="D16" s="12" t="s">
        <v>78</v>
      </c>
    </row>
    <row r="17" customFormat="false" ht="23.85" hidden="false" customHeight="false" outlineLevel="0" collapsed="false">
      <c r="A17" s="11" t="s">
        <v>79</v>
      </c>
      <c r="B17" s="11" t="s">
        <v>80</v>
      </c>
      <c r="C17" s="11" t="s">
        <v>81</v>
      </c>
      <c r="D17" s="11" t="s">
        <v>82</v>
      </c>
    </row>
    <row r="18" customFormat="false" ht="23.85" hidden="false" customHeight="false" outlineLevel="0" collapsed="false">
      <c r="A18" s="12" t="s">
        <v>83</v>
      </c>
      <c r="B18" s="12" t="s">
        <v>84</v>
      </c>
      <c r="C18" s="12" t="s">
        <v>85</v>
      </c>
      <c r="D18" s="12" t="s">
        <v>86</v>
      </c>
    </row>
    <row r="19" customFormat="false" ht="23.85" hidden="false" customHeight="false" outlineLevel="0" collapsed="false">
      <c r="A19" s="11" t="s">
        <v>87</v>
      </c>
      <c r="B19" s="11" t="s">
        <v>88</v>
      </c>
      <c r="C19" s="11" t="s">
        <v>89</v>
      </c>
      <c r="D19" s="11" t="s">
        <v>90</v>
      </c>
    </row>
  </sheetData>
  <autoFilter ref="A4:D19"/>
  <mergeCells count="2">
    <mergeCell ref="A1:D1"/>
    <mergeCell ref="A2:D2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F22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4" topLeftCell="A5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customHeight="false" zeroHeight="false" outlineLevelRow="0" outlineLevelCol="0"/>
  <cols>
    <col collapsed="false" customWidth="true" hidden="false" outlineLevel="0" max="1" min="1" style="0" width="10"/>
    <col collapsed="false" customWidth="true" hidden="false" outlineLevel="0" max="2" min="2" style="0" width="16"/>
    <col collapsed="false" customWidth="true" hidden="false" outlineLevel="0" max="3" min="3" style="0" width="28"/>
    <col collapsed="false" customWidth="true" hidden="false" outlineLevel="0" max="4" min="4" style="0" width="46"/>
    <col collapsed="false" customWidth="true" hidden="false" outlineLevel="0" max="5" min="5" style="0" width="40"/>
    <col collapsed="false" customWidth="true" hidden="false" outlineLevel="0" max="6" min="6" style="0" width="30"/>
  </cols>
  <sheetData>
    <row r="1" customFormat="false" ht="30" hidden="false" customHeight="true" outlineLevel="0" collapsed="false">
      <c r="A1" s="8" t="s">
        <v>91</v>
      </c>
      <c r="B1" s="8"/>
      <c r="C1" s="8"/>
      <c r="D1" s="8"/>
      <c r="E1" s="8"/>
      <c r="F1" s="8"/>
    </row>
    <row r="2" customFormat="false" ht="18" hidden="false" customHeight="true" outlineLevel="0" collapsed="false">
      <c r="A2" s="9" t="s">
        <v>92</v>
      </c>
      <c r="B2" s="9"/>
      <c r="C2" s="9"/>
      <c r="D2" s="9"/>
      <c r="E2" s="9"/>
      <c r="F2" s="9"/>
    </row>
    <row r="4" customFormat="false" ht="27.75" hidden="false" customHeight="true" outlineLevel="0" collapsed="false">
      <c r="A4" s="10" t="s">
        <v>93</v>
      </c>
      <c r="B4" s="10" t="s">
        <v>94</v>
      </c>
      <c r="C4" s="10" t="s">
        <v>95</v>
      </c>
      <c r="D4" s="10" t="s">
        <v>96</v>
      </c>
      <c r="E4" s="10" t="s">
        <v>97</v>
      </c>
      <c r="F4" s="10" t="s">
        <v>98</v>
      </c>
    </row>
    <row r="5" customFormat="false" ht="23.85" hidden="false" customHeight="false" outlineLevel="0" collapsed="false">
      <c r="A5" s="11" t="s">
        <v>99</v>
      </c>
      <c r="B5" s="11" t="s">
        <v>100</v>
      </c>
      <c r="C5" s="11" t="s">
        <v>101</v>
      </c>
      <c r="D5" s="11" t="s">
        <v>102</v>
      </c>
      <c r="E5" s="11" t="s">
        <v>103</v>
      </c>
      <c r="F5" s="11" t="s">
        <v>104</v>
      </c>
    </row>
    <row r="6" customFormat="false" ht="23.85" hidden="false" customHeight="false" outlineLevel="0" collapsed="false">
      <c r="A6" s="12" t="s">
        <v>105</v>
      </c>
      <c r="B6" s="12" t="s">
        <v>100</v>
      </c>
      <c r="C6" s="12" t="s">
        <v>106</v>
      </c>
      <c r="D6" s="12" t="s">
        <v>107</v>
      </c>
      <c r="E6" s="12" t="s">
        <v>108</v>
      </c>
      <c r="F6" s="12" t="s">
        <v>109</v>
      </c>
    </row>
    <row r="7" customFormat="false" ht="23.85" hidden="false" customHeight="false" outlineLevel="0" collapsed="false">
      <c r="A7" s="11" t="s">
        <v>110</v>
      </c>
      <c r="B7" s="11" t="s">
        <v>100</v>
      </c>
      <c r="C7" s="11" t="s">
        <v>111</v>
      </c>
      <c r="D7" s="11" t="s">
        <v>112</v>
      </c>
      <c r="E7" s="11" t="s">
        <v>113</v>
      </c>
      <c r="F7" s="11" t="s">
        <v>114</v>
      </c>
    </row>
    <row r="8" customFormat="false" ht="23.85" hidden="false" customHeight="false" outlineLevel="0" collapsed="false">
      <c r="A8" s="12" t="s">
        <v>115</v>
      </c>
      <c r="B8" s="12" t="s">
        <v>100</v>
      </c>
      <c r="C8" s="12" t="s">
        <v>116</v>
      </c>
      <c r="D8" s="12" t="s">
        <v>117</v>
      </c>
      <c r="E8" s="12" t="s">
        <v>118</v>
      </c>
      <c r="F8" s="12" t="s">
        <v>119</v>
      </c>
    </row>
    <row r="9" customFormat="false" ht="23.85" hidden="false" customHeight="false" outlineLevel="0" collapsed="false">
      <c r="A9" s="11" t="s">
        <v>120</v>
      </c>
      <c r="B9" s="11" t="s">
        <v>100</v>
      </c>
      <c r="C9" s="11" t="s">
        <v>121</v>
      </c>
      <c r="D9" s="11" t="s">
        <v>122</v>
      </c>
      <c r="E9" s="11" t="s">
        <v>123</v>
      </c>
      <c r="F9" s="11" t="s">
        <v>124</v>
      </c>
    </row>
    <row r="10" customFormat="false" ht="23.85" hidden="false" customHeight="false" outlineLevel="0" collapsed="false">
      <c r="A10" s="12" t="s">
        <v>125</v>
      </c>
      <c r="B10" s="12" t="s">
        <v>126</v>
      </c>
      <c r="C10" s="12" t="s">
        <v>127</v>
      </c>
      <c r="D10" s="12" t="s">
        <v>128</v>
      </c>
      <c r="E10" s="12" t="s">
        <v>129</v>
      </c>
      <c r="F10" s="12" t="s">
        <v>130</v>
      </c>
    </row>
    <row r="11" customFormat="false" ht="23.85" hidden="false" customHeight="false" outlineLevel="0" collapsed="false">
      <c r="A11" s="11" t="s">
        <v>131</v>
      </c>
      <c r="B11" s="11" t="s">
        <v>126</v>
      </c>
      <c r="C11" s="11" t="s">
        <v>132</v>
      </c>
      <c r="D11" s="11" t="s">
        <v>133</v>
      </c>
      <c r="E11" s="11" t="s">
        <v>134</v>
      </c>
      <c r="F11" s="11" t="s">
        <v>135</v>
      </c>
    </row>
    <row r="12" customFormat="false" ht="23.85" hidden="false" customHeight="false" outlineLevel="0" collapsed="false">
      <c r="A12" s="12" t="s">
        <v>136</v>
      </c>
      <c r="B12" s="12" t="s">
        <v>126</v>
      </c>
      <c r="C12" s="12" t="s">
        <v>137</v>
      </c>
      <c r="D12" s="12" t="s">
        <v>138</v>
      </c>
      <c r="E12" s="12" t="s">
        <v>139</v>
      </c>
      <c r="F12" s="12" t="s">
        <v>140</v>
      </c>
    </row>
    <row r="13" customFormat="false" ht="23.85" hidden="false" customHeight="false" outlineLevel="0" collapsed="false">
      <c r="A13" s="11" t="s">
        <v>141</v>
      </c>
      <c r="B13" s="11" t="s">
        <v>142</v>
      </c>
      <c r="C13" s="11" t="s">
        <v>143</v>
      </c>
      <c r="D13" s="11" t="s">
        <v>144</v>
      </c>
      <c r="E13" s="11" t="s">
        <v>145</v>
      </c>
      <c r="F13" s="11" t="s">
        <v>146</v>
      </c>
    </row>
    <row r="14" customFormat="false" ht="23.85" hidden="false" customHeight="false" outlineLevel="0" collapsed="false">
      <c r="A14" s="12" t="s">
        <v>147</v>
      </c>
      <c r="B14" s="12" t="s">
        <v>148</v>
      </c>
      <c r="C14" s="12" t="s">
        <v>149</v>
      </c>
      <c r="D14" s="12" t="s">
        <v>150</v>
      </c>
      <c r="E14" s="12" t="s">
        <v>151</v>
      </c>
      <c r="F14" s="12" t="s">
        <v>152</v>
      </c>
    </row>
    <row r="15" customFormat="false" ht="23.85" hidden="false" customHeight="false" outlineLevel="0" collapsed="false">
      <c r="A15" s="11" t="s">
        <v>153</v>
      </c>
      <c r="B15" s="11" t="s">
        <v>148</v>
      </c>
      <c r="C15" s="11" t="s">
        <v>154</v>
      </c>
      <c r="D15" s="11" t="s">
        <v>155</v>
      </c>
      <c r="E15" s="11" t="s">
        <v>156</v>
      </c>
      <c r="F15" s="11" t="s">
        <v>157</v>
      </c>
    </row>
    <row r="16" customFormat="false" ht="23.85" hidden="false" customHeight="false" outlineLevel="0" collapsed="false">
      <c r="A16" s="12" t="s">
        <v>158</v>
      </c>
      <c r="B16" s="12" t="s">
        <v>148</v>
      </c>
      <c r="C16" s="12" t="s">
        <v>159</v>
      </c>
      <c r="D16" s="12" t="s">
        <v>160</v>
      </c>
      <c r="E16" s="12" t="s">
        <v>161</v>
      </c>
      <c r="F16" s="12" t="s">
        <v>162</v>
      </c>
    </row>
    <row r="17" customFormat="false" ht="23.85" hidden="false" customHeight="false" outlineLevel="0" collapsed="false">
      <c r="A17" s="11" t="s">
        <v>163</v>
      </c>
      <c r="B17" s="11" t="s">
        <v>164</v>
      </c>
      <c r="C17" s="11" t="s">
        <v>165</v>
      </c>
      <c r="D17" s="11" t="s">
        <v>166</v>
      </c>
      <c r="E17" s="11" t="s">
        <v>167</v>
      </c>
      <c r="F17" s="11" t="s">
        <v>168</v>
      </c>
    </row>
    <row r="18" customFormat="false" ht="23.85" hidden="false" customHeight="false" outlineLevel="0" collapsed="false">
      <c r="A18" s="12" t="s">
        <v>169</v>
      </c>
      <c r="B18" s="12" t="s">
        <v>164</v>
      </c>
      <c r="C18" s="12" t="s">
        <v>170</v>
      </c>
      <c r="D18" s="12" t="s">
        <v>171</v>
      </c>
      <c r="E18" s="12" t="s">
        <v>172</v>
      </c>
      <c r="F18" s="12" t="s">
        <v>173</v>
      </c>
    </row>
    <row r="19" customFormat="false" ht="23.85" hidden="false" customHeight="false" outlineLevel="0" collapsed="false">
      <c r="A19" s="11" t="s">
        <v>174</v>
      </c>
      <c r="B19" s="11" t="s">
        <v>164</v>
      </c>
      <c r="C19" s="11" t="s">
        <v>175</v>
      </c>
      <c r="D19" s="11" t="s">
        <v>176</v>
      </c>
      <c r="E19" s="11" t="s">
        <v>177</v>
      </c>
      <c r="F19" s="11" t="s">
        <v>178</v>
      </c>
    </row>
    <row r="20" customFormat="false" ht="23.85" hidden="false" customHeight="false" outlineLevel="0" collapsed="false">
      <c r="A20" s="12" t="s">
        <v>179</v>
      </c>
      <c r="B20" s="12" t="s">
        <v>164</v>
      </c>
      <c r="C20" s="12" t="s">
        <v>180</v>
      </c>
      <c r="D20" s="12" t="s">
        <v>181</v>
      </c>
      <c r="E20" s="12" t="s">
        <v>182</v>
      </c>
      <c r="F20" s="12" t="s">
        <v>183</v>
      </c>
    </row>
    <row r="21" customFormat="false" ht="23.85" hidden="false" customHeight="false" outlineLevel="0" collapsed="false">
      <c r="A21" s="11" t="s">
        <v>184</v>
      </c>
      <c r="B21" s="11" t="s">
        <v>185</v>
      </c>
      <c r="C21" s="11" t="s">
        <v>186</v>
      </c>
      <c r="D21" s="11" t="s">
        <v>187</v>
      </c>
      <c r="E21" s="11" t="s">
        <v>188</v>
      </c>
      <c r="F21" s="11" t="s">
        <v>189</v>
      </c>
    </row>
    <row r="22" customFormat="false" ht="23.85" hidden="false" customHeight="false" outlineLevel="0" collapsed="false">
      <c r="A22" s="12" t="s">
        <v>190</v>
      </c>
      <c r="B22" s="12" t="s">
        <v>185</v>
      </c>
      <c r="C22" s="12" t="s">
        <v>191</v>
      </c>
      <c r="D22" s="12" t="s">
        <v>192</v>
      </c>
      <c r="E22" s="12" t="s">
        <v>193</v>
      </c>
      <c r="F22" s="12" t="s">
        <v>194</v>
      </c>
    </row>
  </sheetData>
  <autoFilter ref="A4:F22"/>
  <mergeCells count="2">
    <mergeCell ref="A1:F1"/>
    <mergeCell ref="A2:F2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E25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4" topLeftCell="A5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customHeight="false" zeroHeight="false" outlineLevelRow="0" outlineLevelCol="0"/>
  <cols>
    <col collapsed="false" customWidth="true" hidden="false" outlineLevel="0" max="1" min="1" style="0" width="16"/>
    <col collapsed="false" customWidth="true" hidden="false" outlineLevel="0" max="2" min="2" style="0" width="28"/>
    <col collapsed="false" customWidth="true" hidden="false" outlineLevel="0" max="3" min="3" style="0" width="42"/>
    <col collapsed="false" customWidth="true" hidden="false" outlineLevel="0" max="4" min="4" style="0" width="22"/>
    <col collapsed="false" customWidth="true" hidden="false" outlineLevel="0" max="5" min="5" style="0" width="40"/>
  </cols>
  <sheetData>
    <row r="1" customFormat="false" ht="30" hidden="false" customHeight="true" outlineLevel="0" collapsed="false">
      <c r="A1" s="8" t="s">
        <v>195</v>
      </c>
      <c r="B1" s="8"/>
      <c r="C1" s="8"/>
      <c r="D1" s="8"/>
      <c r="E1" s="8"/>
    </row>
    <row r="2" customFormat="false" ht="18" hidden="false" customHeight="true" outlineLevel="0" collapsed="false">
      <c r="A2" s="9" t="s">
        <v>196</v>
      </c>
      <c r="B2" s="9"/>
      <c r="C2" s="9"/>
      <c r="D2" s="9"/>
      <c r="E2" s="9"/>
    </row>
    <row r="4" customFormat="false" ht="27.75" hidden="false" customHeight="true" outlineLevel="0" collapsed="false">
      <c r="A4" s="10" t="s">
        <v>197</v>
      </c>
      <c r="B4" s="10" t="s">
        <v>198</v>
      </c>
      <c r="C4" s="10" t="s">
        <v>199</v>
      </c>
      <c r="D4" s="10" t="s">
        <v>200</v>
      </c>
      <c r="E4" s="10" t="s">
        <v>201</v>
      </c>
    </row>
    <row r="5" customFormat="false" ht="15" hidden="false" customHeight="false" outlineLevel="0" collapsed="false">
      <c r="A5" s="11" t="s">
        <v>202</v>
      </c>
      <c r="B5" s="11" t="s">
        <v>203</v>
      </c>
      <c r="C5" s="11" t="s">
        <v>204</v>
      </c>
      <c r="D5" s="11" t="s">
        <v>205</v>
      </c>
      <c r="E5" s="11" t="s">
        <v>206</v>
      </c>
    </row>
    <row r="6" customFormat="false" ht="15" hidden="false" customHeight="false" outlineLevel="0" collapsed="false">
      <c r="A6" s="12" t="s">
        <v>202</v>
      </c>
      <c r="B6" s="12" t="s">
        <v>207</v>
      </c>
      <c r="C6" s="12" t="s">
        <v>208</v>
      </c>
      <c r="D6" s="12" t="s">
        <v>209</v>
      </c>
      <c r="E6" s="12" t="s">
        <v>210</v>
      </c>
    </row>
    <row r="7" customFormat="false" ht="15" hidden="false" customHeight="false" outlineLevel="0" collapsed="false">
      <c r="A7" s="11" t="s">
        <v>202</v>
      </c>
      <c r="B7" s="11" t="s">
        <v>211</v>
      </c>
      <c r="C7" s="11" t="s">
        <v>212</v>
      </c>
      <c r="D7" s="11" t="s">
        <v>213</v>
      </c>
      <c r="E7" s="11" t="s">
        <v>214</v>
      </c>
    </row>
    <row r="8" customFormat="false" ht="15" hidden="false" customHeight="false" outlineLevel="0" collapsed="false">
      <c r="A8" s="12" t="s">
        <v>202</v>
      </c>
      <c r="B8" s="12" t="s">
        <v>215</v>
      </c>
      <c r="C8" s="12" t="s">
        <v>216</v>
      </c>
      <c r="D8" s="12" t="s">
        <v>213</v>
      </c>
      <c r="E8" s="12" t="s">
        <v>217</v>
      </c>
    </row>
    <row r="9" customFormat="false" ht="15" hidden="false" customHeight="false" outlineLevel="0" collapsed="false">
      <c r="A9" s="11" t="s">
        <v>202</v>
      </c>
      <c r="B9" s="11" t="s">
        <v>218</v>
      </c>
      <c r="C9" s="11" t="s">
        <v>219</v>
      </c>
      <c r="D9" s="11" t="s">
        <v>220</v>
      </c>
      <c r="E9" s="11" t="s">
        <v>221</v>
      </c>
    </row>
    <row r="10" customFormat="false" ht="15" hidden="false" customHeight="false" outlineLevel="0" collapsed="false">
      <c r="A10" s="12" t="s">
        <v>202</v>
      </c>
      <c r="B10" s="12" t="s">
        <v>222</v>
      </c>
      <c r="C10" s="12" t="s">
        <v>223</v>
      </c>
      <c r="D10" s="12" t="s">
        <v>224</v>
      </c>
      <c r="E10" s="12" t="s">
        <v>225</v>
      </c>
    </row>
    <row r="11" customFormat="false" ht="15" hidden="false" customHeight="false" outlineLevel="0" collapsed="false">
      <c r="A11" s="11" t="s">
        <v>202</v>
      </c>
      <c r="B11" s="11" t="s">
        <v>226</v>
      </c>
      <c r="C11" s="11" t="s">
        <v>227</v>
      </c>
      <c r="D11" s="11" t="s">
        <v>228</v>
      </c>
      <c r="E11" s="11" t="s">
        <v>229</v>
      </c>
    </row>
    <row r="12" customFormat="false" ht="15" hidden="false" customHeight="false" outlineLevel="0" collapsed="false">
      <c r="A12" s="12" t="s">
        <v>202</v>
      </c>
      <c r="B12" s="12" t="s">
        <v>230</v>
      </c>
      <c r="C12" s="12" t="s">
        <v>231</v>
      </c>
      <c r="D12" s="12" t="s">
        <v>232</v>
      </c>
      <c r="E12" s="12" t="s">
        <v>233</v>
      </c>
    </row>
    <row r="13" customFormat="false" ht="15" hidden="false" customHeight="false" outlineLevel="0" collapsed="false">
      <c r="A13" s="11" t="s">
        <v>234</v>
      </c>
      <c r="B13" s="11" t="s">
        <v>235</v>
      </c>
      <c r="C13" s="11" t="s">
        <v>236</v>
      </c>
      <c r="D13" s="11" t="s">
        <v>237</v>
      </c>
      <c r="E13" s="11" t="s">
        <v>238</v>
      </c>
    </row>
    <row r="14" customFormat="false" ht="15" hidden="false" customHeight="false" outlineLevel="0" collapsed="false">
      <c r="A14" s="12" t="s">
        <v>234</v>
      </c>
      <c r="B14" s="12" t="s">
        <v>239</v>
      </c>
      <c r="C14" s="12" t="s">
        <v>240</v>
      </c>
      <c r="D14" s="12" t="s">
        <v>241</v>
      </c>
      <c r="E14" s="12" t="s">
        <v>242</v>
      </c>
    </row>
    <row r="15" customFormat="false" ht="15" hidden="false" customHeight="false" outlineLevel="0" collapsed="false">
      <c r="A15" s="11" t="s">
        <v>234</v>
      </c>
      <c r="B15" s="11" t="s">
        <v>243</v>
      </c>
      <c r="C15" s="11" t="s">
        <v>244</v>
      </c>
      <c r="D15" s="11" t="s">
        <v>245</v>
      </c>
      <c r="E15" s="11" t="s">
        <v>246</v>
      </c>
    </row>
    <row r="16" customFormat="false" ht="15" hidden="false" customHeight="false" outlineLevel="0" collapsed="false">
      <c r="A16" s="12" t="s">
        <v>247</v>
      </c>
      <c r="B16" s="12" t="s">
        <v>248</v>
      </c>
      <c r="C16" s="12" t="s">
        <v>249</v>
      </c>
      <c r="D16" s="12" t="s">
        <v>250</v>
      </c>
      <c r="E16" s="12" t="s">
        <v>251</v>
      </c>
    </row>
    <row r="17" customFormat="false" ht="15" hidden="false" customHeight="false" outlineLevel="0" collapsed="false">
      <c r="A17" s="11" t="s">
        <v>247</v>
      </c>
      <c r="B17" s="11" t="s">
        <v>252</v>
      </c>
      <c r="C17" s="11" t="s">
        <v>253</v>
      </c>
      <c r="D17" s="11" t="s">
        <v>254</v>
      </c>
      <c r="E17" s="11" t="s">
        <v>255</v>
      </c>
    </row>
    <row r="18" customFormat="false" ht="15" hidden="false" customHeight="false" outlineLevel="0" collapsed="false">
      <c r="A18" s="12" t="s">
        <v>256</v>
      </c>
      <c r="B18" s="12" t="s">
        <v>257</v>
      </c>
      <c r="C18" s="12" t="s">
        <v>258</v>
      </c>
      <c r="D18" s="12" t="s">
        <v>259</v>
      </c>
      <c r="E18" s="12" t="s">
        <v>260</v>
      </c>
    </row>
    <row r="19" customFormat="false" ht="15" hidden="false" customHeight="false" outlineLevel="0" collapsed="false">
      <c r="A19" s="11" t="s">
        <v>256</v>
      </c>
      <c r="B19" s="11" t="s">
        <v>261</v>
      </c>
      <c r="C19" s="11" t="s">
        <v>262</v>
      </c>
      <c r="D19" s="11" t="s">
        <v>263</v>
      </c>
      <c r="E19" s="11" t="s">
        <v>264</v>
      </c>
    </row>
    <row r="20" customFormat="false" ht="15" hidden="false" customHeight="false" outlineLevel="0" collapsed="false">
      <c r="A20" s="12" t="s">
        <v>265</v>
      </c>
      <c r="B20" s="12" t="s">
        <v>266</v>
      </c>
      <c r="C20" s="12" t="s">
        <v>267</v>
      </c>
      <c r="D20" s="12" t="s">
        <v>213</v>
      </c>
      <c r="E20" s="12" t="s">
        <v>268</v>
      </c>
    </row>
    <row r="21" customFormat="false" ht="15" hidden="false" customHeight="false" outlineLevel="0" collapsed="false">
      <c r="A21" s="11" t="s">
        <v>265</v>
      </c>
      <c r="B21" s="11" t="s">
        <v>269</v>
      </c>
      <c r="C21" s="11" t="s">
        <v>270</v>
      </c>
      <c r="D21" s="11" t="s">
        <v>271</v>
      </c>
      <c r="E21" s="11" t="s">
        <v>272</v>
      </c>
    </row>
    <row r="22" customFormat="false" ht="15" hidden="false" customHeight="false" outlineLevel="0" collapsed="false">
      <c r="A22" s="12" t="s">
        <v>265</v>
      </c>
      <c r="B22" s="12" t="s">
        <v>273</v>
      </c>
      <c r="C22" s="12" t="s">
        <v>274</v>
      </c>
      <c r="D22" s="12" t="s">
        <v>275</v>
      </c>
      <c r="E22" s="12" t="s">
        <v>276</v>
      </c>
    </row>
    <row r="23" customFormat="false" ht="15" hidden="false" customHeight="false" outlineLevel="0" collapsed="false">
      <c r="A23" s="11" t="s">
        <v>265</v>
      </c>
      <c r="B23" s="11" t="s">
        <v>277</v>
      </c>
      <c r="C23" s="11" t="s">
        <v>278</v>
      </c>
      <c r="D23" s="11" t="s">
        <v>279</v>
      </c>
      <c r="E23" s="11" t="s">
        <v>280</v>
      </c>
    </row>
    <row r="24" customFormat="false" ht="15" hidden="false" customHeight="false" outlineLevel="0" collapsed="false">
      <c r="A24" s="12" t="s">
        <v>265</v>
      </c>
      <c r="B24" s="12" t="s">
        <v>281</v>
      </c>
      <c r="C24" s="12" t="s">
        <v>282</v>
      </c>
      <c r="D24" s="12" t="s">
        <v>283</v>
      </c>
      <c r="E24" s="12" t="s">
        <v>284</v>
      </c>
    </row>
    <row r="25" customFormat="false" ht="15" hidden="false" customHeight="false" outlineLevel="0" collapsed="false">
      <c r="A25" s="11" t="s">
        <v>265</v>
      </c>
      <c r="B25" s="11" t="s">
        <v>285</v>
      </c>
      <c r="C25" s="11" t="s">
        <v>286</v>
      </c>
      <c r="D25" s="11" t="s">
        <v>213</v>
      </c>
      <c r="E25" s="11" t="s">
        <v>276</v>
      </c>
    </row>
  </sheetData>
  <autoFilter ref="A4:E25"/>
  <mergeCells count="2">
    <mergeCell ref="A1:E1"/>
    <mergeCell ref="A2:E2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E25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4" topLeftCell="A5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customHeight="false" zeroHeight="false" outlineLevelRow="0" outlineLevelCol="0"/>
  <cols>
    <col collapsed="false" customWidth="true" hidden="false" outlineLevel="0" max="1" min="1" style="0" width="24"/>
    <col collapsed="false" customWidth="true" hidden="false" outlineLevel="0" max="2" min="2" style="0" width="42"/>
    <col collapsed="false" customWidth="true" hidden="false" outlineLevel="0" max="3" min="3" style="0" width="40"/>
    <col collapsed="false" customWidth="true" hidden="false" outlineLevel="0" max="4" min="4" style="0" width="24"/>
    <col collapsed="false" customWidth="true" hidden="false" outlineLevel="0" max="5" min="5" style="0" width="14"/>
  </cols>
  <sheetData>
    <row r="1" customFormat="false" ht="30" hidden="false" customHeight="true" outlineLevel="0" collapsed="false">
      <c r="A1" s="8" t="s">
        <v>287</v>
      </c>
      <c r="B1" s="8"/>
      <c r="C1" s="8"/>
      <c r="D1" s="8"/>
      <c r="E1" s="8"/>
    </row>
    <row r="2" customFormat="false" ht="18" hidden="false" customHeight="true" outlineLevel="0" collapsed="false">
      <c r="A2" s="9" t="s">
        <v>288</v>
      </c>
      <c r="B2" s="9"/>
      <c r="C2" s="9"/>
      <c r="D2" s="9"/>
      <c r="E2" s="9"/>
    </row>
    <row r="4" customFormat="false" ht="27.75" hidden="false" customHeight="true" outlineLevel="0" collapsed="false">
      <c r="A4" s="10" t="s">
        <v>289</v>
      </c>
      <c r="B4" s="10" t="s">
        <v>199</v>
      </c>
      <c r="C4" s="10" t="s">
        <v>290</v>
      </c>
      <c r="D4" s="10" t="s">
        <v>291</v>
      </c>
      <c r="E4" s="10" t="s">
        <v>292</v>
      </c>
    </row>
    <row r="5" customFormat="false" ht="23.85" hidden="false" customHeight="false" outlineLevel="0" collapsed="false">
      <c r="A5" s="11" t="s">
        <v>293</v>
      </c>
      <c r="B5" s="11" t="s">
        <v>294</v>
      </c>
      <c r="C5" s="11" t="s">
        <v>295</v>
      </c>
      <c r="D5" s="11" t="s">
        <v>296</v>
      </c>
      <c r="E5" s="11" t="s">
        <v>297</v>
      </c>
    </row>
    <row r="6" customFormat="false" ht="15" hidden="false" customHeight="false" outlineLevel="0" collapsed="false">
      <c r="A6" s="12" t="s">
        <v>298</v>
      </c>
      <c r="B6" s="12" t="s">
        <v>299</v>
      </c>
      <c r="C6" s="12" t="s">
        <v>300</v>
      </c>
      <c r="D6" s="12" t="s">
        <v>301</v>
      </c>
      <c r="E6" s="12" t="s">
        <v>297</v>
      </c>
    </row>
    <row r="7" customFormat="false" ht="15" hidden="false" customHeight="false" outlineLevel="0" collapsed="false">
      <c r="A7" s="11" t="s">
        <v>302</v>
      </c>
      <c r="B7" s="11" t="s">
        <v>303</v>
      </c>
      <c r="C7" s="11" t="s">
        <v>304</v>
      </c>
      <c r="D7" s="11" t="s">
        <v>305</v>
      </c>
      <c r="E7" s="11" t="s">
        <v>297</v>
      </c>
    </row>
    <row r="8" customFormat="false" ht="23.85" hidden="false" customHeight="false" outlineLevel="0" collapsed="false">
      <c r="A8" s="12" t="s">
        <v>306</v>
      </c>
      <c r="B8" s="12" t="s">
        <v>307</v>
      </c>
      <c r="C8" s="12" t="s">
        <v>308</v>
      </c>
      <c r="D8" s="12" t="s">
        <v>309</v>
      </c>
      <c r="E8" s="12" t="s">
        <v>310</v>
      </c>
    </row>
    <row r="9" customFormat="false" ht="15" hidden="false" customHeight="false" outlineLevel="0" collapsed="false">
      <c r="A9" s="11" t="s">
        <v>311</v>
      </c>
      <c r="B9" s="11" t="s">
        <v>312</v>
      </c>
      <c r="C9" s="11" t="s">
        <v>313</v>
      </c>
      <c r="D9" s="11" t="s">
        <v>314</v>
      </c>
      <c r="E9" s="11" t="s">
        <v>315</v>
      </c>
    </row>
    <row r="10" customFormat="false" ht="15" hidden="false" customHeight="false" outlineLevel="0" collapsed="false">
      <c r="A10" s="12" t="s">
        <v>316</v>
      </c>
      <c r="B10" s="12" t="s">
        <v>317</v>
      </c>
      <c r="C10" s="12" t="s">
        <v>318</v>
      </c>
      <c r="D10" s="12" t="s">
        <v>319</v>
      </c>
      <c r="E10" s="12" t="s">
        <v>297</v>
      </c>
    </row>
    <row r="11" customFormat="false" ht="15" hidden="false" customHeight="false" outlineLevel="0" collapsed="false">
      <c r="A11" s="11" t="s">
        <v>320</v>
      </c>
      <c r="B11" s="11" t="s">
        <v>321</v>
      </c>
      <c r="C11" s="11" t="s">
        <v>322</v>
      </c>
      <c r="D11" s="11" t="s">
        <v>323</v>
      </c>
      <c r="E11" s="11" t="s">
        <v>324</v>
      </c>
    </row>
    <row r="12" customFormat="false" ht="23.85" hidden="false" customHeight="false" outlineLevel="0" collapsed="false">
      <c r="A12" s="12" t="s">
        <v>325</v>
      </c>
      <c r="B12" s="12" t="s">
        <v>326</v>
      </c>
      <c r="C12" s="12" t="s">
        <v>327</v>
      </c>
      <c r="D12" s="12" t="s">
        <v>328</v>
      </c>
      <c r="E12" s="12" t="s">
        <v>297</v>
      </c>
    </row>
    <row r="13" customFormat="false" ht="23.85" hidden="false" customHeight="false" outlineLevel="0" collapsed="false">
      <c r="A13" s="11" t="s">
        <v>329</v>
      </c>
      <c r="B13" s="11" t="s">
        <v>330</v>
      </c>
      <c r="C13" s="11" t="s">
        <v>331</v>
      </c>
      <c r="D13" s="11" t="s">
        <v>332</v>
      </c>
      <c r="E13" s="11" t="s">
        <v>333</v>
      </c>
    </row>
    <row r="14" customFormat="false" ht="15" hidden="false" customHeight="false" outlineLevel="0" collapsed="false">
      <c r="A14" s="12" t="s">
        <v>334</v>
      </c>
      <c r="B14" s="12" t="s">
        <v>335</v>
      </c>
      <c r="C14" s="12" t="s">
        <v>336</v>
      </c>
      <c r="D14" s="12" t="s">
        <v>337</v>
      </c>
      <c r="E14" s="12" t="s">
        <v>338</v>
      </c>
    </row>
    <row r="15" customFormat="false" ht="15" hidden="false" customHeight="false" outlineLevel="0" collapsed="false">
      <c r="A15" s="11" t="s">
        <v>339</v>
      </c>
      <c r="B15" s="11" t="s">
        <v>340</v>
      </c>
      <c r="C15" s="11" t="s">
        <v>341</v>
      </c>
      <c r="D15" s="11" t="s">
        <v>342</v>
      </c>
      <c r="E15" s="11" t="s">
        <v>343</v>
      </c>
    </row>
    <row r="16" customFormat="false" ht="15" hidden="false" customHeight="false" outlineLevel="0" collapsed="false">
      <c r="A16" s="12" t="s">
        <v>344</v>
      </c>
      <c r="B16" s="12" t="s">
        <v>345</v>
      </c>
      <c r="C16" s="12" t="s">
        <v>346</v>
      </c>
      <c r="D16" s="12" t="s">
        <v>347</v>
      </c>
      <c r="E16" s="12" t="s">
        <v>348</v>
      </c>
    </row>
    <row r="17" customFormat="false" ht="15" hidden="false" customHeight="false" outlineLevel="0" collapsed="false">
      <c r="A17" s="11" t="s">
        <v>349</v>
      </c>
      <c r="B17" s="11" t="s">
        <v>350</v>
      </c>
      <c r="C17" s="11" t="s">
        <v>351</v>
      </c>
      <c r="D17" s="11" t="s">
        <v>352</v>
      </c>
      <c r="E17" s="11" t="s">
        <v>353</v>
      </c>
    </row>
    <row r="18" customFormat="false" ht="23.85" hidden="false" customHeight="false" outlineLevel="0" collapsed="false">
      <c r="A18" s="12" t="s">
        <v>354</v>
      </c>
      <c r="B18" s="12" t="s">
        <v>355</v>
      </c>
      <c r="C18" s="12" t="s">
        <v>356</v>
      </c>
      <c r="D18" s="12" t="s">
        <v>357</v>
      </c>
      <c r="E18" s="12" t="s">
        <v>297</v>
      </c>
    </row>
    <row r="19" customFormat="false" ht="15" hidden="false" customHeight="false" outlineLevel="0" collapsed="false">
      <c r="A19" s="11" t="s">
        <v>358</v>
      </c>
      <c r="B19" s="11" t="s">
        <v>359</v>
      </c>
      <c r="C19" s="11" t="s">
        <v>360</v>
      </c>
      <c r="D19" s="11" t="s">
        <v>357</v>
      </c>
      <c r="E19" s="11" t="s">
        <v>297</v>
      </c>
    </row>
    <row r="20" customFormat="false" ht="15" hidden="false" customHeight="false" outlineLevel="0" collapsed="false">
      <c r="A20" s="12" t="s">
        <v>361</v>
      </c>
      <c r="B20" s="12" t="s">
        <v>362</v>
      </c>
      <c r="C20" s="12" t="s">
        <v>363</v>
      </c>
      <c r="D20" s="12" t="s">
        <v>364</v>
      </c>
      <c r="E20" s="12" t="s">
        <v>365</v>
      </c>
    </row>
    <row r="21" customFormat="false" ht="15" hidden="false" customHeight="false" outlineLevel="0" collapsed="false">
      <c r="A21" s="11" t="s">
        <v>366</v>
      </c>
      <c r="B21" s="11" t="s">
        <v>367</v>
      </c>
      <c r="C21" s="11" t="s">
        <v>368</v>
      </c>
      <c r="D21" s="11" t="s">
        <v>369</v>
      </c>
      <c r="E21" s="11" t="s">
        <v>370</v>
      </c>
    </row>
    <row r="22" customFormat="false" ht="23.85" hidden="false" customHeight="false" outlineLevel="0" collapsed="false">
      <c r="A22" s="12" t="s">
        <v>371</v>
      </c>
      <c r="B22" s="12" t="s">
        <v>372</v>
      </c>
      <c r="C22" s="12" t="s">
        <v>373</v>
      </c>
      <c r="D22" s="12" t="s">
        <v>357</v>
      </c>
      <c r="E22" s="12" t="s">
        <v>297</v>
      </c>
    </row>
    <row r="23" customFormat="false" ht="15" hidden="false" customHeight="false" outlineLevel="0" collapsed="false">
      <c r="A23" s="11" t="s">
        <v>374</v>
      </c>
      <c r="B23" s="11" t="s">
        <v>375</v>
      </c>
      <c r="C23" s="11" t="s">
        <v>376</v>
      </c>
      <c r="D23" s="11" t="s">
        <v>377</v>
      </c>
      <c r="E23" s="11" t="s">
        <v>297</v>
      </c>
    </row>
    <row r="24" customFormat="false" ht="15" hidden="false" customHeight="false" outlineLevel="0" collapsed="false">
      <c r="A24" s="12" t="s">
        <v>378</v>
      </c>
      <c r="B24" s="12" t="s">
        <v>379</v>
      </c>
      <c r="C24" s="12" t="s">
        <v>380</v>
      </c>
      <c r="D24" s="12" t="s">
        <v>381</v>
      </c>
      <c r="E24" s="12" t="s">
        <v>382</v>
      </c>
    </row>
    <row r="25" customFormat="false" ht="23.85" hidden="false" customHeight="false" outlineLevel="0" collapsed="false">
      <c r="A25" s="11" t="s">
        <v>383</v>
      </c>
      <c r="B25" s="11" t="s">
        <v>384</v>
      </c>
      <c r="C25" s="11" t="s">
        <v>380</v>
      </c>
      <c r="D25" s="11" t="s">
        <v>385</v>
      </c>
      <c r="E25" s="11" t="s">
        <v>382</v>
      </c>
    </row>
  </sheetData>
  <autoFilter ref="A4:E25"/>
  <mergeCells count="2">
    <mergeCell ref="A1:E1"/>
    <mergeCell ref="A2:E2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drawing r:id="rId1"/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D35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4" topLeftCell="A5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customHeight="false" zeroHeight="false" outlineLevelRow="0" outlineLevelCol="0"/>
  <cols>
    <col collapsed="false" customWidth="true" hidden="false" outlineLevel="0" max="1" min="1" style="0" width="14"/>
    <col collapsed="false" customWidth="true" hidden="false" outlineLevel="0" max="2" min="2" style="0" width="18"/>
    <col collapsed="false" customWidth="true" hidden="false" outlineLevel="0" max="3" min="3" style="0" width="52"/>
    <col collapsed="false" customWidth="true" hidden="false" outlineLevel="0" max="4" min="4" style="0" width="30"/>
  </cols>
  <sheetData>
    <row r="1" customFormat="false" ht="30" hidden="false" customHeight="true" outlineLevel="0" collapsed="false">
      <c r="A1" s="8" t="s">
        <v>386</v>
      </c>
      <c r="B1" s="8"/>
      <c r="C1" s="8"/>
      <c r="D1" s="8"/>
    </row>
    <row r="2" customFormat="false" ht="18" hidden="false" customHeight="true" outlineLevel="0" collapsed="false">
      <c r="A2" s="9" t="s">
        <v>387</v>
      </c>
      <c r="B2" s="9"/>
      <c r="C2" s="9"/>
      <c r="D2" s="9"/>
    </row>
    <row r="4" customFormat="false" ht="27.75" hidden="false" customHeight="true" outlineLevel="0" collapsed="false">
      <c r="A4" s="10" t="s">
        <v>388</v>
      </c>
      <c r="B4" s="10" t="s">
        <v>389</v>
      </c>
      <c r="C4" s="10" t="s">
        <v>390</v>
      </c>
      <c r="D4" s="10" t="s">
        <v>391</v>
      </c>
    </row>
    <row r="5" customFormat="false" ht="23.85" hidden="false" customHeight="false" outlineLevel="0" collapsed="false">
      <c r="A5" s="11" t="s">
        <v>392</v>
      </c>
      <c r="B5" s="11" t="s">
        <v>393</v>
      </c>
      <c r="C5" s="11" t="s">
        <v>394</v>
      </c>
      <c r="D5" s="11" t="s">
        <v>395</v>
      </c>
    </row>
    <row r="6" customFormat="false" ht="15" hidden="false" customHeight="false" outlineLevel="0" collapsed="false">
      <c r="A6" s="12" t="s">
        <v>396</v>
      </c>
      <c r="B6" s="12" t="s">
        <v>393</v>
      </c>
      <c r="C6" s="12" t="s">
        <v>397</v>
      </c>
      <c r="D6" s="12" t="s">
        <v>398</v>
      </c>
    </row>
    <row r="7" customFormat="false" ht="15" hidden="false" customHeight="false" outlineLevel="0" collapsed="false">
      <c r="A7" s="11" t="s">
        <v>399</v>
      </c>
      <c r="B7" s="11" t="s">
        <v>393</v>
      </c>
      <c r="C7" s="11" t="s">
        <v>400</v>
      </c>
      <c r="D7" s="11" t="s">
        <v>256</v>
      </c>
    </row>
    <row r="8" customFormat="false" ht="15" hidden="false" customHeight="false" outlineLevel="0" collapsed="false">
      <c r="A8" s="12" t="s">
        <v>401</v>
      </c>
      <c r="B8" s="12" t="s">
        <v>393</v>
      </c>
      <c r="C8" s="12" t="s">
        <v>402</v>
      </c>
      <c r="D8" s="12" t="s">
        <v>403</v>
      </c>
    </row>
    <row r="9" customFormat="false" ht="23.85" hidden="false" customHeight="false" outlineLevel="0" collapsed="false">
      <c r="A9" s="11" t="s">
        <v>404</v>
      </c>
      <c r="B9" s="11" t="s">
        <v>393</v>
      </c>
      <c r="C9" s="11" t="s">
        <v>405</v>
      </c>
      <c r="D9" s="11" t="s">
        <v>256</v>
      </c>
    </row>
    <row r="10" customFormat="false" ht="23.85" hidden="false" customHeight="false" outlineLevel="0" collapsed="false">
      <c r="A10" s="12" t="s">
        <v>406</v>
      </c>
      <c r="B10" s="12" t="s">
        <v>407</v>
      </c>
      <c r="C10" s="12" t="s">
        <v>408</v>
      </c>
      <c r="D10" s="12" t="s">
        <v>409</v>
      </c>
    </row>
    <row r="11" customFormat="false" ht="23.85" hidden="false" customHeight="false" outlineLevel="0" collapsed="false">
      <c r="A11" s="11" t="s">
        <v>410</v>
      </c>
      <c r="B11" s="11" t="s">
        <v>411</v>
      </c>
      <c r="C11" s="11" t="s">
        <v>412</v>
      </c>
      <c r="D11" s="11" t="s">
        <v>413</v>
      </c>
    </row>
    <row r="12" customFormat="false" ht="15" hidden="false" customHeight="false" outlineLevel="0" collapsed="false">
      <c r="A12" s="12" t="s">
        <v>414</v>
      </c>
      <c r="B12" s="12" t="s">
        <v>411</v>
      </c>
      <c r="C12" s="12" t="s">
        <v>415</v>
      </c>
      <c r="D12" s="12" t="s">
        <v>416</v>
      </c>
    </row>
    <row r="13" customFormat="false" ht="15" hidden="false" customHeight="false" outlineLevel="0" collapsed="false">
      <c r="A13" s="11" t="s">
        <v>417</v>
      </c>
      <c r="B13" s="11" t="s">
        <v>418</v>
      </c>
      <c r="C13" s="11" t="s">
        <v>419</v>
      </c>
      <c r="D13" s="11" t="s">
        <v>420</v>
      </c>
    </row>
    <row r="14" customFormat="false" ht="15" hidden="false" customHeight="false" outlineLevel="0" collapsed="false">
      <c r="A14" s="12" t="s">
        <v>421</v>
      </c>
      <c r="B14" s="12" t="s">
        <v>418</v>
      </c>
      <c r="C14" s="12" t="s">
        <v>422</v>
      </c>
      <c r="D14" s="12" t="s">
        <v>423</v>
      </c>
    </row>
    <row r="15" customFormat="false" ht="15" hidden="false" customHeight="false" outlineLevel="0" collapsed="false">
      <c r="A15" s="11" t="s">
        <v>424</v>
      </c>
      <c r="B15" s="11" t="s">
        <v>55</v>
      </c>
      <c r="C15" s="11" t="s">
        <v>425</v>
      </c>
      <c r="D15" s="11" t="s">
        <v>337</v>
      </c>
    </row>
    <row r="16" customFormat="false" ht="15" hidden="false" customHeight="false" outlineLevel="0" collapsed="false">
      <c r="A16" s="12" t="s">
        <v>426</v>
      </c>
      <c r="B16" s="12" t="s">
        <v>55</v>
      </c>
      <c r="C16" s="12" t="s">
        <v>427</v>
      </c>
      <c r="D16" s="12" t="s">
        <v>428</v>
      </c>
    </row>
    <row r="17" customFormat="false" ht="15" hidden="false" customHeight="false" outlineLevel="0" collapsed="false">
      <c r="A17" s="11" t="s">
        <v>429</v>
      </c>
      <c r="B17" s="11" t="s">
        <v>55</v>
      </c>
      <c r="C17" s="11" t="s">
        <v>430</v>
      </c>
      <c r="D17" s="11" t="s">
        <v>431</v>
      </c>
    </row>
    <row r="18" customFormat="false" ht="15" hidden="false" customHeight="false" outlineLevel="0" collapsed="false">
      <c r="A18" s="12" t="s">
        <v>432</v>
      </c>
      <c r="B18" s="12" t="s">
        <v>433</v>
      </c>
      <c r="C18" s="12" t="s">
        <v>434</v>
      </c>
      <c r="D18" s="12" t="s">
        <v>435</v>
      </c>
    </row>
    <row r="19" customFormat="false" ht="15" hidden="false" customHeight="false" outlineLevel="0" collapsed="false">
      <c r="A19" s="11" t="s">
        <v>436</v>
      </c>
      <c r="B19" s="11" t="s">
        <v>437</v>
      </c>
      <c r="C19" s="11" t="s">
        <v>438</v>
      </c>
      <c r="D19" s="11" t="s">
        <v>439</v>
      </c>
    </row>
    <row r="20" customFormat="false" ht="15" hidden="false" customHeight="false" outlineLevel="0" collapsed="false">
      <c r="A20" s="12" t="s">
        <v>440</v>
      </c>
      <c r="B20" s="12" t="s">
        <v>437</v>
      </c>
      <c r="C20" s="12" t="s">
        <v>441</v>
      </c>
      <c r="D20" s="12" t="s">
        <v>442</v>
      </c>
    </row>
    <row r="21" customFormat="false" ht="15" hidden="false" customHeight="false" outlineLevel="0" collapsed="false">
      <c r="A21" s="11" t="s">
        <v>443</v>
      </c>
      <c r="B21" s="11" t="s">
        <v>437</v>
      </c>
      <c r="C21" s="11" t="s">
        <v>444</v>
      </c>
      <c r="D21" s="11" t="s">
        <v>445</v>
      </c>
    </row>
    <row r="22" customFormat="false" ht="15" hidden="false" customHeight="false" outlineLevel="0" collapsed="false">
      <c r="A22" s="12" t="s">
        <v>446</v>
      </c>
      <c r="B22" s="12" t="s">
        <v>437</v>
      </c>
      <c r="C22" s="12" t="s">
        <v>447</v>
      </c>
      <c r="D22" s="12" t="s">
        <v>448</v>
      </c>
    </row>
    <row r="23" customFormat="false" ht="15" hidden="false" customHeight="false" outlineLevel="0" collapsed="false">
      <c r="A23" s="11" t="s">
        <v>449</v>
      </c>
      <c r="B23" s="11" t="s">
        <v>437</v>
      </c>
      <c r="C23" s="11" t="s">
        <v>450</v>
      </c>
      <c r="D23" s="11" t="s">
        <v>451</v>
      </c>
    </row>
    <row r="24" customFormat="false" ht="15" hidden="false" customHeight="false" outlineLevel="0" collapsed="false">
      <c r="A24" s="12" t="s">
        <v>452</v>
      </c>
      <c r="B24" s="12" t="s">
        <v>453</v>
      </c>
      <c r="C24" s="12" t="s">
        <v>454</v>
      </c>
      <c r="D24" s="12" t="s">
        <v>455</v>
      </c>
    </row>
    <row r="25" customFormat="false" ht="15" hidden="false" customHeight="false" outlineLevel="0" collapsed="false">
      <c r="A25" s="11" t="s">
        <v>456</v>
      </c>
      <c r="B25" s="11" t="s">
        <v>453</v>
      </c>
      <c r="C25" s="11" t="s">
        <v>457</v>
      </c>
      <c r="D25" s="11" t="s">
        <v>458</v>
      </c>
    </row>
    <row r="26" customFormat="false" ht="23.85" hidden="false" customHeight="false" outlineLevel="0" collapsed="false">
      <c r="A26" s="12" t="s">
        <v>459</v>
      </c>
      <c r="B26" s="12" t="s">
        <v>453</v>
      </c>
      <c r="C26" s="12" t="s">
        <v>460</v>
      </c>
      <c r="D26" s="12" t="s">
        <v>461</v>
      </c>
    </row>
    <row r="27" customFormat="false" ht="23.85" hidden="false" customHeight="false" outlineLevel="0" collapsed="false">
      <c r="A27" s="11" t="s">
        <v>462</v>
      </c>
      <c r="B27" s="11" t="s">
        <v>453</v>
      </c>
      <c r="C27" s="11" t="s">
        <v>463</v>
      </c>
      <c r="D27" s="11" t="s">
        <v>464</v>
      </c>
    </row>
    <row r="28" customFormat="false" ht="15" hidden="false" customHeight="false" outlineLevel="0" collapsed="false">
      <c r="A28" s="12" t="s">
        <v>465</v>
      </c>
      <c r="B28" s="12" t="s">
        <v>466</v>
      </c>
      <c r="C28" s="12" t="s">
        <v>467</v>
      </c>
      <c r="D28" s="12" t="s">
        <v>468</v>
      </c>
    </row>
    <row r="29" customFormat="false" ht="15" hidden="false" customHeight="false" outlineLevel="0" collapsed="false">
      <c r="A29" s="11" t="s">
        <v>469</v>
      </c>
      <c r="B29" s="11" t="s">
        <v>466</v>
      </c>
      <c r="C29" s="11" t="s">
        <v>470</v>
      </c>
      <c r="D29" s="11" t="s">
        <v>471</v>
      </c>
    </row>
    <row r="30" customFormat="false" ht="15" hidden="false" customHeight="false" outlineLevel="0" collapsed="false">
      <c r="A30" s="12" t="s">
        <v>472</v>
      </c>
      <c r="B30" s="12" t="s">
        <v>466</v>
      </c>
      <c r="C30" s="12" t="s">
        <v>473</v>
      </c>
      <c r="D30" s="12" t="s">
        <v>474</v>
      </c>
    </row>
    <row r="31" customFormat="false" ht="23.85" hidden="false" customHeight="false" outlineLevel="0" collapsed="false">
      <c r="A31" s="11" t="s">
        <v>475</v>
      </c>
      <c r="B31" s="11" t="s">
        <v>466</v>
      </c>
      <c r="C31" s="11" t="s">
        <v>476</v>
      </c>
      <c r="D31" s="11" t="s">
        <v>477</v>
      </c>
    </row>
    <row r="32" customFormat="false" ht="23.85" hidden="false" customHeight="false" outlineLevel="0" collapsed="false">
      <c r="A32" s="12" t="s">
        <v>478</v>
      </c>
      <c r="B32" s="12" t="s">
        <v>189</v>
      </c>
      <c r="C32" s="12" t="s">
        <v>479</v>
      </c>
      <c r="D32" s="12" t="s">
        <v>480</v>
      </c>
    </row>
    <row r="33" customFormat="false" ht="23.85" hidden="false" customHeight="false" outlineLevel="0" collapsed="false">
      <c r="A33" s="11" t="s">
        <v>481</v>
      </c>
      <c r="B33" s="11" t="s">
        <v>256</v>
      </c>
      <c r="C33" s="11" t="s">
        <v>482</v>
      </c>
      <c r="D33" s="11" t="s">
        <v>256</v>
      </c>
    </row>
    <row r="34" customFormat="false" ht="15" hidden="false" customHeight="false" outlineLevel="0" collapsed="false">
      <c r="A34" s="12" t="s">
        <v>483</v>
      </c>
      <c r="B34" s="12" t="s">
        <v>39</v>
      </c>
      <c r="C34" s="12" t="s">
        <v>484</v>
      </c>
      <c r="D34" s="12" t="s">
        <v>485</v>
      </c>
    </row>
    <row r="35" customFormat="false" ht="23.85" hidden="false" customHeight="false" outlineLevel="0" collapsed="false">
      <c r="A35" s="11" t="s">
        <v>486</v>
      </c>
      <c r="B35" s="11" t="s">
        <v>487</v>
      </c>
      <c r="C35" s="11" t="s">
        <v>488</v>
      </c>
      <c r="D35" s="11" t="s">
        <v>489</v>
      </c>
    </row>
  </sheetData>
  <autoFilter ref="A4:D35"/>
  <mergeCells count="2">
    <mergeCell ref="A1:D1"/>
    <mergeCell ref="A2:D2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drawing r:id="rId1"/>
</worksheet>
</file>

<file path=xl/worksheets/sheet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R141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1" topLeftCell="A2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customHeight="false" zeroHeight="false" outlineLevelRow="0" outlineLevelCol="0"/>
  <cols>
    <col collapsed="false" customWidth="true" hidden="false" outlineLevel="0" max="1" min="1" style="0" width="13"/>
    <col collapsed="false" customWidth="true" hidden="false" outlineLevel="0" max="3" min="2" style="0" width="14"/>
    <col collapsed="false" customWidth="true" hidden="false" outlineLevel="0" max="4" min="4" style="0" width="12"/>
    <col collapsed="false" customWidth="true" hidden="false" outlineLevel="0" max="5" min="5" style="0" width="40"/>
    <col collapsed="false" customWidth="true" hidden="false" outlineLevel="0" max="6" min="6" style="0" width="12"/>
    <col collapsed="false" customWidth="true" hidden="false" outlineLevel="0" max="7" min="7" style="0" width="11"/>
    <col collapsed="false" customWidth="true" hidden="false" outlineLevel="0" max="8" min="8" style="0" width="8"/>
    <col collapsed="false" customWidth="true" hidden="false" outlineLevel="0" max="9" min="9" style="0" width="26"/>
    <col collapsed="false" customWidth="true" hidden="false" outlineLevel="0" max="10" min="10" style="0" width="40"/>
    <col collapsed="false" customWidth="true" hidden="false" outlineLevel="0" max="11" min="11" style="0" width="18"/>
    <col collapsed="false" customWidth="true" hidden="false" outlineLevel="0" max="12" min="12" style="0" width="46"/>
    <col collapsed="false" customWidth="true" hidden="false" outlineLevel="0" max="13" min="13" style="0" width="18"/>
    <col collapsed="false" customWidth="true" hidden="false" outlineLevel="0" max="14" min="14" style="0" width="11"/>
    <col collapsed="false" customWidth="true" hidden="false" outlineLevel="0" max="15" min="15" style="0" width="10"/>
    <col collapsed="false" customWidth="true" hidden="false" outlineLevel="0" max="17" min="17" style="0" width="22"/>
    <col collapsed="false" customWidth="true" hidden="false" outlineLevel="0" max="18" min="18" style="0" width="10"/>
  </cols>
  <sheetData>
    <row r="1" customFormat="false" ht="27.75" hidden="false" customHeight="true" outlineLevel="0" collapsed="false">
      <c r="A1" s="10" t="s">
        <v>490</v>
      </c>
      <c r="B1" s="10" t="s">
        <v>389</v>
      </c>
      <c r="C1" s="10" t="s">
        <v>491</v>
      </c>
      <c r="D1" s="10" t="s">
        <v>492</v>
      </c>
      <c r="E1" s="10" t="s">
        <v>493</v>
      </c>
      <c r="F1" s="10" t="s">
        <v>494</v>
      </c>
      <c r="G1" s="10" t="s">
        <v>495</v>
      </c>
      <c r="H1" s="10" t="s">
        <v>496</v>
      </c>
      <c r="I1" s="10" t="s">
        <v>497</v>
      </c>
      <c r="J1" s="10" t="s">
        <v>498</v>
      </c>
      <c r="K1" s="10" t="s">
        <v>499</v>
      </c>
      <c r="L1" s="10" t="s">
        <v>500</v>
      </c>
      <c r="M1" s="10" t="s">
        <v>501</v>
      </c>
      <c r="N1" s="10" t="s">
        <v>502</v>
      </c>
      <c r="O1" s="10" t="s">
        <v>503</v>
      </c>
      <c r="Q1" s="13" t="s">
        <v>504</v>
      </c>
    </row>
    <row r="2" customFormat="false" ht="23.85" hidden="false" customHeight="false" outlineLevel="0" collapsed="false">
      <c r="A2" s="11" t="s">
        <v>505</v>
      </c>
      <c r="B2" s="11" t="s">
        <v>43</v>
      </c>
      <c r="C2" s="11" t="s">
        <v>506</v>
      </c>
      <c r="D2" s="11" t="s">
        <v>392</v>
      </c>
      <c r="E2" s="11" t="s">
        <v>507</v>
      </c>
      <c r="F2" s="11" t="s">
        <v>508</v>
      </c>
      <c r="G2" s="11" t="s">
        <v>325</v>
      </c>
      <c r="H2" s="11" t="s">
        <v>509</v>
      </c>
      <c r="I2" s="11" t="s">
        <v>510</v>
      </c>
      <c r="J2" s="11" t="s">
        <v>511</v>
      </c>
      <c r="K2" s="11" t="s">
        <v>512</v>
      </c>
      <c r="L2" s="11" t="s">
        <v>513</v>
      </c>
      <c r="M2" s="11" t="s">
        <v>514</v>
      </c>
      <c r="N2" s="11" t="s">
        <v>515</v>
      </c>
      <c r="O2" s="11" t="s">
        <v>516</v>
      </c>
      <c r="Q2" s="14" t="s">
        <v>517</v>
      </c>
      <c r="R2" s="15" t="n">
        <f aca="false">COUNTA(A2:A141)</f>
        <v>140</v>
      </c>
    </row>
    <row r="3" customFormat="false" ht="15" hidden="false" customHeight="false" outlineLevel="0" collapsed="false">
      <c r="A3" s="12" t="s">
        <v>518</v>
      </c>
      <c r="B3" s="12" t="s">
        <v>43</v>
      </c>
      <c r="C3" s="12" t="s">
        <v>506</v>
      </c>
      <c r="D3" s="12" t="s">
        <v>392</v>
      </c>
      <c r="E3" s="12" t="s">
        <v>519</v>
      </c>
      <c r="F3" s="12" t="s">
        <v>508</v>
      </c>
      <c r="G3" s="12" t="s">
        <v>325</v>
      </c>
      <c r="H3" s="12" t="s">
        <v>509</v>
      </c>
      <c r="I3" s="12" t="s">
        <v>520</v>
      </c>
      <c r="J3" s="12" t="s">
        <v>521</v>
      </c>
      <c r="K3" s="12" t="s">
        <v>522</v>
      </c>
      <c r="L3" s="12" t="s">
        <v>523</v>
      </c>
      <c r="M3" s="12" t="s">
        <v>524</v>
      </c>
      <c r="N3" s="12" t="s">
        <v>515</v>
      </c>
      <c r="O3" s="12" t="s">
        <v>516</v>
      </c>
      <c r="Q3" s="14" t="s">
        <v>525</v>
      </c>
      <c r="R3" s="15" t="n">
        <f aca="false">COUNTIF(H2:H141,"P1")</f>
        <v>63</v>
      </c>
    </row>
    <row r="4" customFormat="false" ht="15" hidden="false" customHeight="false" outlineLevel="0" collapsed="false">
      <c r="A4" s="11" t="s">
        <v>526</v>
      </c>
      <c r="B4" s="11" t="s">
        <v>43</v>
      </c>
      <c r="C4" s="11" t="s">
        <v>506</v>
      </c>
      <c r="D4" s="11" t="s">
        <v>392</v>
      </c>
      <c r="E4" s="11" t="s">
        <v>527</v>
      </c>
      <c r="F4" s="11" t="s">
        <v>528</v>
      </c>
      <c r="G4" s="11" t="s">
        <v>325</v>
      </c>
      <c r="H4" s="11" t="s">
        <v>509</v>
      </c>
      <c r="I4" s="11" t="s">
        <v>520</v>
      </c>
      <c r="J4" s="11" t="s">
        <v>529</v>
      </c>
      <c r="K4" s="11" t="s">
        <v>530</v>
      </c>
      <c r="L4" s="11" t="s">
        <v>531</v>
      </c>
      <c r="M4" s="11" t="s">
        <v>532</v>
      </c>
      <c r="N4" s="11" t="s">
        <v>515</v>
      </c>
      <c r="O4" s="11" t="s">
        <v>516</v>
      </c>
      <c r="Q4" s="14" t="s">
        <v>533</v>
      </c>
      <c r="R4" s="15" t="n">
        <f aca="false">COUNTIF(H2:H141,"P2")</f>
        <v>59</v>
      </c>
    </row>
    <row r="5" customFormat="false" ht="15" hidden="false" customHeight="false" outlineLevel="0" collapsed="false">
      <c r="A5" s="12" t="s">
        <v>534</v>
      </c>
      <c r="B5" s="12" t="s">
        <v>43</v>
      </c>
      <c r="C5" s="12" t="s">
        <v>506</v>
      </c>
      <c r="D5" s="12" t="s">
        <v>392</v>
      </c>
      <c r="E5" s="12" t="s">
        <v>535</v>
      </c>
      <c r="F5" s="12" t="s">
        <v>256</v>
      </c>
      <c r="G5" s="12" t="s">
        <v>325</v>
      </c>
      <c r="H5" s="12" t="s">
        <v>536</v>
      </c>
      <c r="I5" s="12" t="s">
        <v>380</v>
      </c>
      <c r="J5" s="12" t="s">
        <v>537</v>
      </c>
      <c r="K5" s="12" t="s">
        <v>538</v>
      </c>
      <c r="L5" s="12" t="s">
        <v>539</v>
      </c>
      <c r="M5" s="12" t="s">
        <v>540</v>
      </c>
      <c r="N5" s="12" t="s">
        <v>515</v>
      </c>
      <c r="O5" s="12" t="s">
        <v>516</v>
      </c>
      <c r="Q5" s="14" t="s">
        <v>541</v>
      </c>
      <c r="R5" s="15" t="n">
        <f aca="false">COUNTIF(H2:H141,"P3")+COUNTIF(H2:H141,"P4")</f>
        <v>18</v>
      </c>
    </row>
    <row r="6" customFormat="false" ht="23.85" hidden="false" customHeight="false" outlineLevel="0" collapsed="false">
      <c r="A6" s="11" t="s">
        <v>542</v>
      </c>
      <c r="B6" s="11" t="s">
        <v>43</v>
      </c>
      <c r="C6" s="11" t="s">
        <v>506</v>
      </c>
      <c r="D6" s="11" t="s">
        <v>392</v>
      </c>
      <c r="E6" s="11" t="s">
        <v>543</v>
      </c>
      <c r="F6" s="11" t="s">
        <v>508</v>
      </c>
      <c r="G6" s="11" t="s">
        <v>334</v>
      </c>
      <c r="H6" s="11" t="s">
        <v>536</v>
      </c>
      <c r="I6" s="11" t="s">
        <v>544</v>
      </c>
      <c r="J6" s="11" t="s">
        <v>545</v>
      </c>
      <c r="K6" s="11" t="s">
        <v>546</v>
      </c>
      <c r="L6" s="11" t="s">
        <v>547</v>
      </c>
      <c r="M6" s="11" t="s">
        <v>532</v>
      </c>
      <c r="N6" s="11" t="s">
        <v>548</v>
      </c>
      <c r="O6" s="11" t="s">
        <v>516</v>
      </c>
      <c r="Q6" s="14" t="s">
        <v>549</v>
      </c>
      <c r="R6" s="15" t="n">
        <f aca="false">COUNTIF(F2:F141,"Security")</f>
        <v>20</v>
      </c>
    </row>
    <row r="7" customFormat="false" ht="23.85" hidden="false" customHeight="false" outlineLevel="0" collapsed="false">
      <c r="A7" s="12" t="s">
        <v>550</v>
      </c>
      <c r="B7" s="12" t="s">
        <v>43</v>
      </c>
      <c r="C7" s="12" t="s">
        <v>506</v>
      </c>
      <c r="D7" s="12" t="s">
        <v>392</v>
      </c>
      <c r="E7" s="12" t="s">
        <v>551</v>
      </c>
      <c r="F7" s="12" t="s">
        <v>256</v>
      </c>
      <c r="G7" s="12" t="s">
        <v>325</v>
      </c>
      <c r="H7" s="12" t="s">
        <v>552</v>
      </c>
      <c r="I7" s="12" t="s">
        <v>553</v>
      </c>
      <c r="J7" s="12" t="s">
        <v>554</v>
      </c>
      <c r="K7" s="12" t="s">
        <v>546</v>
      </c>
      <c r="L7" s="12" t="s">
        <v>555</v>
      </c>
      <c r="M7" s="12" t="s">
        <v>256</v>
      </c>
      <c r="N7" s="12" t="s">
        <v>548</v>
      </c>
      <c r="O7" s="12" t="s">
        <v>516</v>
      </c>
      <c r="Q7" s="14" t="s">
        <v>556</v>
      </c>
      <c r="R7" s="15" t="n">
        <f aca="false">COUNTIF(F2:F141,"Database")</f>
        <v>8</v>
      </c>
    </row>
    <row r="8" customFormat="false" ht="23.85" hidden="false" customHeight="false" outlineLevel="0" collapsed="false">
      <c r="A8" s="11" t="s">
        <v>557</v>
      </c>
      <c r="B8" s="11" t="s">
        <v>43</v>
      </c>
      <c r="C8" s="11" t="s">
        <v>558</v>
      </c>
      <c r="D8" s="11" t="s">
        <v>396</v>
      </c>
      <c r="E8" s="11" t="s">
        <v>559</v>
      </c>
      <c r="F8" s="11" t="s">
        <v>508</v>
      </c>
      <c r="G8" s="11" t="s">
        <v>325</v>
      </c>
      <c r="H8" s="11" t="s">
        <v>536</v>
      </c>
      <c r="I8" s="11" t="s">
        <v>560</v>
      </c>
      <c r="J8" s="11" t="s">
        <v>561</v>
      </c>
      <c r="K8" s="11" t="s">
        <v>562</v>
      </c>
      <c r="L8" s="11" t="s">
        <v>563</v>
      </c>
      <c r="M8" s="11" t="s">
        <v>532</v>
      </c>
      <c r="N8" s="11" t="s">
        <v>548</v>
      </c>
      <c r="O8" s="11" t="s">
        <v>516</v>
      </c>
      <c r="Q8" s="14" t="s">
        <v>564</v>
      </c>
      <c r="R8" s="15" t="n">
        <f aca="false">COUNTIF(M2:M141,"*Smoke*")</f>
        <v>22</v>
      </c>
    </row>
    <row r="9" customFormat="false" ht="23.85" hidden="false" customHeight="false" outlineLevel="0" collapsed="false">
      <c r="A9" s="12" t="s">
        <v>565</v>
      </c>
      <c r="B9" s="12" t="s">
        <v>43</v>
      </c>
      <c r="C9" s="12" t="s">
        <v>566</v>
      </c>
      <c r="D9" s="12" t="s">
        <v>396</v>
      </c>
      <c r="E9" s="12" t="s">
        <v>567</v>
      </c>
      <c r="F9" s="12" t="s">
        <v>508</v>
      </c>
      <c r="G9" s="12" t="s">
        <v>325</v>
      </c>
      <c r="H9" s="12" t="s">
        <v>509</v>
      </c>
      <c r="I9" s="12" t="s">
        <v>568</v>
      </c>
      <c r="J9" s="12" t="s">
        <v>569</v>
      </c>
      <c r="K9" s="12" t="s">
        <v>570</v>
      </c>
      <c r="L9" s="12" t="s">
        <v>571</v>
      </c>
      <c r="M9" s="12" t="s">
        <v>524</v>
      </c>
      <c r="N9" s="12" t="s">
        <v>515</v>
      </c>
      <c r="O9" s="12" t="s">
        <v>516</v>
      </c>
      <c r="Q9" s="14" t="s">
        <v>572</v>
      </c>
      <c r="R9" s="15" t="n">
        <f aca="false">COUNTIF(M2:M141,"*Regression*")</f>
        <v>125</v>
      </c>
    </row>
    <row r="10" customFormat="false" ht="15" hidden="false" customHeight="false" outlineLevel="0" collapsed="false">
      <c r="A10" s="11" t="s">
        <v>573</v>
      </c>
      <c r="B10" s="11" t="s">
        <v>43</v>
      </c>
      <c r="C10" s="11" t="s">
        <v>566</v>
      </c>
      <c r="D10" s="11" t="s">
        <v>396</v>
      </c>
      <c r="E10" s="11" t="s">
        <v>574</v>
      </c>
      <c r="F10" s="11" t="s">
        <v>508</v>
      </c>
      <c r="G10" s="11" t="s">
        <v>325</v>
      </c>
      <c r="H10" s="11" t="s">
        <v>536</v>
      </c>
      <c r="I10" s="11" t="s">
        <v>575</v>
      </c>
      <c r="J10" s="11" t="s">
        <v>576</v>
      </c>
      <c r="K10" s="11" t="s">
        <v>577</v>
      </c>
      <c r="L10" s="11" t="s">
        <v>578</v>
      </c>
      <c r="M10" s="11" t="s">
        <v>532</v>
      </c>
      <c r="N10" s="11" t="s">
        <v>515</v>
      </c>
      <c r="O10" s="11" t="s">
        <v>516</v>
      </c>
      <c r="Q10" s="14" t="s">
        <v>579</v>
      </c>
      <c r="R10" s="15" t="n">
        <f aca="false">COUNTIF(N2:N141,"Yes")</f>
        <v>77</v>
      </c>
    </row>
    <row r="11" customFormat="false" ht="15" hidden="false" customHeight="false" outlineLevel="0" collapsed="false">
      <c r="A11" s="12" t="s">
        <v>580</v>
      </c>
      <c r="B11" s="12" t="s">
        <v>43</v>
      </c>
      <c r="C11" s="12" t="s">
        <v>566</v>
      </c>
      <c r="D11" s="12" t="s">
        <v>396</v>
      </c>
      <c r="E11" s="12" t="s">
        <v>581</v>
      </c>
      <c r="F11" s="12" t="s">
        <v>256</v>
      </c>
      <c r="G11" s="12" t="s">
        <v>325</v>
      </c>
      <c r="H11" s="12" t="s">
        <v>509</v>
      </c>
      <c r="I11" s="12" t="s">
        <v>582</v>
      </c>
      <c r="J11" s="12" t="s">
        <v>583</v>
      </c>
      <c r="K11" s="12" t="s">
        <v>584</v>
      </c>
      <c r="L11" s="12" t="s">
        <v>585</v>
      </c>
      <c r="M11" s="12" t="s">
        <v>586</v>
      </c>
      <c r="N11" s="12" t="s">
        <v>515</v>
      </c>
      <c r="O11" s="12" t="s">
        <v>516</v>
      </c>
    </row>
    <row r="12" customFormat="false" ht="23.85" hidden="false" customHeight="false" outlineLevel="0" collapsed="false">
      <c r="A12" s="11" t="s">
        <v>587</v>
      </c>
      <c r="B12" s="11" t="s">
        <v>43</v>
      </c>
      <c r="C12" s="11" t="s">
        <v>588</v>
      </c>
      <c r="D12" s="11" t="s">
        <v>399</v>
      </c>
      <c r="E12" s="11" t="s">
        <v>589</v>
      </c>
      <c r="F12" s="11" t="s">
        <v>256</v>
      </c>
      <c r="G12" s="11" t="s">
        <v>329</v>
      </c>
      <c r="H12" s="11" t="s">
        <v>509</v>
      </c>
      <c r="I12" s="11" t="s">
        <v>590</v>
      </c>
      <c r="J12" s="11" t="s">
        <v>591</v>
      </c>
      <c r="K12" s="11" t="s">
        <v>592</v>
      </c>
      <c r="L12" s="11" t="s">
        <v>593</v>
      </c>
      <c r="M12" s="11" t="s">
        <v>594</v>
      </c>
      <c r="N12" s="11" t="s">
        <v>548</v>
      </c>
      <c r="O12" s="11" t="s">
        <v>516</v>
      </c>
    </row>
    <row r="13" customFormat="false" ht="15" hidden="false" customHeight="false" outlineLevel="0" collapsed="false">
      <c r="A13" s="12" t="s">
        <v>595</v>
      </c>
      <c r="B13" s="12" t="s">
        <v>43</v>
      </c>
      <c r="C13" s="12" t="s">
        <v>596</v>
      </c>
      <c r="D13" s="12" t="s">
        <v>399</v>
      </c>
      <c r="E13" s="12" t="s">
        <v>597</v>
      </c>
      <c r="F13" s="12" t="s">
        <v>256</v>
      </c>
      <c r="G13" s="12" t="s">
        <v>329</v>
      </c>
      <c r="H13" s="12" t="s">
        <v>509</v>
      </c>
      <c r="I13" s="12" t="s">
        <v>598</v>
      </c>
      <c r="J13" s="12" t="s">
        <v>599</v>
      </c>
      <c r="K13" s="12" t="s">
        <v>600</v>
      </c>
      <c r="L13" s="12" t="s">
        <v>601</v>
      </c>
      <c r="M13" s="12" t="s">
        <v>256</v>
      </c>
      <c r="N13" s="12" t="s">
        <v>548</v>
      </c>
      <c r="O13" s="12" t="s">
        <v>516</v>
      </c>
    </row>
    <row r="14" customFormat="false" ht="23.85" hidden="false" customHeight="false" outlineLevel="0" collapsed="false">
      <c r="A14" s="11" t="s">
        <v>602</v>
      </c>
      <c r="B14" s="11" t="s">
        <v>43</v>
      </c>
      <c r="C14" s="11" t="s">
        <v>603</v>
      </c>
      <c r="D14" s="11" t="s">
        <v>401</v>
      </c>
      <c r="E14" s="11" t="s">
        <v>604</v>
      </c>
      <c r="F14" s="11" t="s">
        <v>508</v>
      </c>
      <c r="G14" s="11" t="s">
        <v>329</v>
      </c>
      <c r="H14" s="11" t="s">
        <v>509</v>
      </c>
      <c r="I14" s="11" t="s">
        <v>605</v>
      </c>
      <c r="J14" s="11" t="s">
        <v>606</v>
      </c>
      <c r="K14" s="11" t="s">
        <v>380</v>
      </c>
      <c r="L14" s="11" t="s">
        <v>607</v>
      </c>
      <c r="M14" s="11" t="s">
        <v>540</v>
      </c>
      <c r="N14" s="11" t="s">
        <v>548</v>
      </c>
      <c r="O14" s="11" t="s">
        <v>516</v>
      </c>
    </row>
    <row r="15" customFormat="false" ht="15" hidden="false" customHeight="false" outlineLevel="0" collapsed="false">
      <c r="A15" s="12" t="s">
        <v>608</v>
      </c>
      <c r="B15" s="12" t="s">
        <v>43</v>
      </c>
      <c r="C15" s="12" t="s">
        <v>603</v>
      </c>
      <c r="D15" s="12" t="s">
        <v>401</v>
      </c>
      <c r="E15" s="12" t="s">
        <v>609</v>
      </c>
      <c r="F15" s="12" t="s">
        <v>508</v>
      </c>
      <c r="G15" s="12" t="s">
        <v>325</v>
      </c>
      <c r="H15" s="12" t="s">
        <v>536</v>
      </c>
      <c r="I15" s="12" t="s">
        <v>610</v>
      </c>
      <c r="J15" s="12" t="s">
        <v>611</v>
      </c>
      <c r="K15" s="12" t="s">
        <v>380</v>
      </c>
      <c r="L15" s="12" t="s">
        <v>612</v>
      </c>
      <c r="M15" s="12" t="s">
        <v>532</v>
      </c>
      <c r="N15" s="12" t="s">
        <v>548</v>
      </c>
      <c r="O15" s="12" t="s">
        <v>516</v>
      </c>
    </row>
    <row r="16" customFormat="false" ht="23.85" hidden="false" customHeight="false" outlineLevel="0" collapsed="false">
      <c r="A16" s="11" t="s">
        <v>613</v>
      </c>
      <c r="B16" s="11" t="s">
        <v>43</v>
      </c>
      <c r="C16" s="11" t="s">
        <v>614</v>
      </c>
      <c r="D16" s="11" t="s">
        <v>404</v>
      </c>
      <c r="E16" s="11" t="s">
        <v>615</v>
      </c>
      <c r="F16" s="11" t="s">
        <v>256</v>
      </c>
      <c r="G16" s="11" t="s">
        <v>325</v>
      </c>
      <c r="H16" s="11" t="s">
        <v>509</v>
      </c>
      <c r="I16" s="11" t="s">
        <v>616</v>
      </c>
      <c r="J16" s="11" t="s">
        <v>617</v>
      </c>
      <c r="K16" s="11" t="s">
        <v>618</v>
      </c>
      <c r="L16" s="11" t="s">
        <v>619</v>
      </c>
      <c r="M16" s="11" t="s">
        <v>586</v>
      </c>
      <c r="N16" s="11" t="s">
        <v>548</v>
      </c>
      <c r="O16" s="11" t="s">
        <v>516</v>
      </c>
    </row>
    <row r="17" customFormat="false" ht="15" hidden="false" customHeight="false" outlineLevel="0" collapsed="false">
      <c r="A17" s="12" t="s">
        <v>620</v>
      </c>
      <c r="B17" s="12" t="s">
        <v>43</v>
      </c>
      <c r="C17" s="12" t="s">
        <v>614</v>
      </c>
      <c r="D17" s="12" t="s">
        <v>404</v>
      </c>
      <c r="E17" s="12" t="s">
        <v>621</v>
      </c>
      <c r="F17" s="12" t="s">
        <v>256</v>
      </c>
      <c r="G17" s="12" t="s">
        <v>329</v>
      </c>
      <c r="H17" s="12" t="s">
        <v>509</v>
      </c>
      <c r="I17" s="12" t="s">
        <v>622</v>
      </c>
      <c r="J17" s="12" t="s">
        <v>623</v>
      </c>
      <c r="K17" s="12" t="s">
        <v>624</v>
      </c>
      <c r="L17" s="12" t="s">
        <v>625</v>
      </c>
      <c r="M17" s="12" t="s">
        <v>586</v>
      </c>
      <c r="N17" s="12" t="s">
        <v>515</v>
      </c>
      <c r="O17" s="12" t="s">
        <v>516</v>
      </c>
    </row>
    <row r="18" customFormat="false" ht="15" hidden="false" customHeight="false" outlineLevel="0" collapsed="false">
      <c r="A18" s="11" t="s">
        <v>626</v>
      </c>
      <c r="B18" s="11" t="s">
        <v>43</v>
      </c>
      <c r="C18" s="11" t="s">
        <v>614</v>
      </c>
      <c r="D18" s="11" t="s">
        <v>404</v>
      </c>
      <c r="E18" s="11" t="s">
        <v>627</v>
      </c>
      <c r="F18" s="11" t="s">
        <v>508</v>
      </c>
      <c r="G18" s="11" t="s">
        <v>325</v>
      </c>
      <c r="H18" s="11" t="s">
        <v>536</v>
      </c>
      <c r="I18" s="11" t="s">
        <v>628</v>
      </c>
      <c r="J18" s="11" t="s">
        <v>629</v>
      </c>
      <c r="K18" s="11" t="s">
        <v>380</v>
      </c>
      <c r="L18" s="11" t="s">
        <v>630</v>
      </c>
      <c r="M18" s="11" t="s">
        <v>532</v>
      </c>
      <c r="N18" s="11" t="s">
        <v>548</v>
      </c>
      <c r="O18" s="11" t="s">
        <v>516</v>
      </c>
    </row>
    <row r="19" customFormat="false" ht="15" hidden="false" customHeight="false" outlineLevel="0" collapsed="false">
      <c r="A19" s="12" t="s">
        <v>631</v>
      </c>
      <c r="B19" s="12" t="s">
        <v>43</v>
      </c>
      <c r="C19" s="12" t="s">
        <v>632</v>
      </c>
      <c r="D19" s="12" t="s">
        <v>404</v>
      </c>
      <c r="E19" s="12" t="s">
        <v>633</v>
      </c>
      <c r="F19" s="12" t="s">
        <v>508</v>
      </c>
      <c r="G19" s="12" t="s">
        <v>329</v>
      </c>
      <c r="H19" s="12" t="s">
        <v>536</v>
      </c>
      <c r="I19" s="12" t="s">
        <v>634</v>
      </c>
      <c r="J19" s="12" t="s">
        <v>635</v>
      </c>
      <c r="K19" s="12" t="s">
        <v>636</v>
      </c>
      <c r="L19" s="12" t="s">
        <v>637</v>
      </c>
      <c r="M19" s="12" t="s">
        <v>532</v>
      </c>
      <c r="N19" s="12" t="s">
        <v>515</v>
      </c>
      <c r="O19" s="12" t="s">
        <v>516</v>
      </c>
    </row>
    <row r="20" customFormat="false" ht="23.85" hidden="false" customHeight="false" outlineLevel="0" collapsed="false">
      <c r="A20" s="11" t="s">
        <v>638</v>
      </c>
      <c r="B20" s="11" t="s">
        <v>639</v>
      </c>
      <c r="C20" s="11" t="s">
        <v>407</v>
      </c>
      <c r="D20" s="11" t="s">
        <v>406</v>
      </c>
      <c r="E20" s="11" t="s">
        <v>640</v>
      </c>
      <c r="F20" s="11" t="s">
        <v>508</v>
      </c>
      <c r="G20" s="11" t="s">
        <v>325</v>
      </c>
      <c r="H20" s="11" t="s">
        <v>536</v>
      </c>
      <c r="I20" s="11" t="s">
        <v>641</v>
      </c>
      <c r="J20" s="11" t="s">
        <v>642</v>
      </c>
      <c r="K20" s="11" t="s">
        <v>643</v>
      </c>
      <c r="L20" s="11" t="s">
        <v>644</v>
      </c>
      <c r="M20" s="11" t="s">
        <v>524</v>
      </c>
      <c r="N20" s="11" t="s">
        <v>515</v>
      </c>
      <c r="O20" s="11" t="s">
        <v>516</v>
      </c>
    </row>
    <row r="21" customFormat="false" ht="15" hidden="false" customHeight="false" outlineLevel="0" collapsed="false">
      <c r="A21" s="12" t="s">
        <v>645</v>
      </c>
      <c r="B21" s="12" t="s">
        <v>639</v>
      </c>
      <c r="C21" s="12" t="s">
        <v>407</v>
      </c>
      <c r="D21" s="12" t="s">
        <v>406</v>
      </c>
      <c r="E21" s="12" t="s">
        <v>646</v>
      </c>
      <c r="F21" s="12" t="s">
        <v>508</v>
      </c>
      <c r="G21" s="12" t="s">
        <v>325</v>
      </c>
      <c r="H21" s="12" t="s">
        <v>552</v>
      </c>
      <c r="I21" s="12" t="s">
        <v>647</v>
      </c>
      <c r="J21" s="12" t="s">
        <v>648</v>
      </c>
      <c r="K21" s="12" t="s">
        <v>649</v>
      </c>
      <c r="L21" s="12" t="s">
        <v>650</v>
      </c>
      <c r="M21" s="12" t="s">
        <v>532</v>
      </c>
      <c r="N21" s="12" t="s">
        <v>515</v>
      </c>
      <c r="O21" s="12" t="s">
        <v>516</v>
      </c>
    </row>
    <row r="22" customFormat="false" ht="23.85" hidden="false" customHeight="false" outlineLevel="0" collapsed="false">
      <c r="A22" s="11" t="s">
        <v>651</v>
      </c>
      <c r="B22" s="11" t="s">
        <v>639</v>
      </c>
      <c r="C22" s="11" t="s">
        <v>407</v>
      </c>
      <c r="D22" s="11" t="s">
        <v>406</v>
      </c>
      <c r="E22" s="11" t="s">
        <v>652</v>
      </c>
      <c r="F22" s="11" t="s">
        <v>508</v>
      </c>
      <c r="G22" s="11" t="s">
        <v>334</v>
      </c>
      <c r="H22" s="11" t="s">
        <v>552</v>
      </c>
      <c r="I22" s="11" t="s">
        <v>653</v>
      </c>
      <c r="J22" s="11" t="s">
        <v>654</v>
      </c>
      <c r="K22" s="11" t="s">
        <v>380</v>
      </c>
      <c r="L22" s="11" t="s">
        <v>655</v>
      </c>
      <c r="M22" s="11" t="s">
        <v>532</v>
      </c>
      <c r="N22" s="11" t="s">
        <v>548</v>
      </c>
      <c r="O22" s="11" t="s">
        <v>516</v>
      </c>
    </row>
    <row r="23" customFormat="false" ht="15" hidden="false" customHeight="false" outlineLevel="0" collapsed="false">
      <c r="A23" s="12" t="s">
        <v>656</v>
      </c>
      <c r="B23" s="12" t="s">
        <v>639</v>
      </c>
      <c r="C23" s="12" t="s">
        <v>407</v>
      </c>
      <c r="D23" s="12" t="s">
        <v>406</v>
      </c>
      <c r="E23" s="12" t="s">
        <v>657</v>
      </c>
      <c r="F23" s="12" t="s">
        <v>508</v>
      </c>
      <c r="G23" s="12" t="s">
        <v>325</v>
      </c>
      <c r="H23" s="12" t="s">
        <v>536</v>
      </c>
      <c r="I23" s="12" t="s">
        <v>658</v>
      </c>
      <c r="J23" s="12" t="s">
        <v>659</v>
      </c>
      <c r="K23" s="12" t="s">
        <v>380</v>
      </c>
      <c r="L23" s="12" t="s">
        <v>660</v>
      </c>
      <c r="M23" s="12" t="s">
        <v>532</v>
      </c>
      <c r="N23" s="12" t="s">
        <v>515</v>
      </c>
      <c r="O23" s="12" t="s">
        <v>516</v>
      </c>
    </row>
    <row r="24" customFormat="false" ht="15" hidden="false" customHeight="false" outlineLevel="0" collapsed="false">
      <c r="A24" s="11" t="s">
        <v>661</v>
      </c>
      <c r="B24" s="11" t="s">
        <v>662</v>
      </c>
      <c r="C24" s="11" t="s">
        <v>663</v>
      </c>
      <c r="D24" s="11" t="s">
        <v>410</v>
      </c>
      <c r="E24" s="11" t="s">
        <v>664</v>
      </c>
      <c r="F24" s="11" t="s">
        <v>508</v>
      </c>
      <c r="G24" s="11" t="s">
        <v>329</v>
      </c>
      <c r="H24" s="11" t="s">
        <v>509</v>
      </c>
      <c r="I24" s="11" t="s">
        <v>665</v>
      </c>
      <c r="J24" s="11" t="s">
        <v>666</v>
      </c>
      <c r="K24" s="11" t="s">
        <v>667</v>
      </c>
      <c r="L24" s="11" t="s">
        <v>668</v>
      </c>
      <c r="M24" s="11" t="s">
        <v>669</v>
      </c>
      <c r="N24" s="11" t="s">
        <v>515</v>
      </c>
      <c r="O24" s="11" t="s">
        <v>516</v>
      </c>
    </row>
    <row r="25" customFormat="false" ht="23.85" hidden="false" customHeight="false" outlineLevel="0" collapsed="false">
      <c r="A25" s="12" t="s">
        <v>670</v>
      </c>
      <c r="B25" s="12" t="s">
        <v>662</v>
      </c>
      <c r="C25" s="12" t="s">
        <v>663</v>
      </c>
      <c r="D25" s="12" t="s">
        <v>410</v>
      </c>
      <c r="E25" s="12" t="s">
        <v>671</v>
      </c>
      <c r="F25" s="12" t="s">
        <v>508</v>
      </c>
      <c r="G25" s="12" t="s">
        <v>329</v>
      </c>
      <c r="H25" s="12" t="s">
        <v>536</v>
      </c>
      <c r="I25" s="12" t="s">
        <v>672</v>
      </c>
      <c r="J25" s="12" t="s">
        <v>673</v>
      </c>
      <c r="K25" s="12" t="s">
        <v>380</v>
      </c>
      <c r="L25" s="12" t="s">
        <v>674</v>
      </c>
      <c r="M25" s="12" t="s">
        <v>532</v>
      </c>
      <c r="N25" s="12" t="s">
        <v>515</v>
      </c>
      <c r="O25" s="12" t="s">
        <v>516</v>
      </c>
    </row>
    <row r="26" customFormat="false" ht="23.85" hidden="false" customHeight="false" outlineLevel="0" collapsed="false">
      <c r="A26" s="11" t="s">
        <v>675</v>
      </c>
      <c r="B26" s="11" t="s">
        <v>662</v>
      </c>
      <c r="C26" s="11" t="s">
        <v>663</v>
      </c>
      <c r="D26" s="11" t="s">
        <v>410</v>
      </c>
      <c r="E26" s="11" t="s">
        <v>676</v>
      </c>
      <c r="F26" s="11" t="s">
        <v>508</v>
      </c>
      <c r="G26" s="11" t="s">
        <v>329</v>
      </c>
      <c r="H26" s="11" t="s">
        <v>536</v>
      </c>
      <c r="I26" s="11" t="s">
        <v>677</v>
      </c>
      <c r="J26" s="11" t="s">
        <v>678</v>
      </c>
      <c r="K26" s="11" t="s">
        <v>380</v>
      </c>
      <c r="L26" s="11" t="s">
        <v>679</v>
      </c>
      <c r="M26" s="11" t="s">
        <v>532</v>
      </c>
      <c r="N26" s="11" t="s">
        <v>515</v>
      </c>
      <c r="O26" s="11" t="s">
        <v>516</v>
      </c>
    </row>
    <row r="27" customFormat="false" ht="15" hidden="false" customHeight="false" outlineLevel="0" collapsed="false">
      <c r="A27" s="12" t="s">
        <v>680</v>
      </c>
      <c r="B27" s="12" t="s">
        <v>662</v>
      </c>
      <c r="C27" s="12" t="s">
        <v>681</v>
      </c>
      <c r="D27" s="12" t="s">
        <v>410</v>
      </c>
      <c r="E27" s="12" t="s">
        <v>682</v>
      </c>
      <c r="F27" s="12" t="s">
        <v>508</v>
      </c>
      <c r="G27" s="12" t="s">
        <v>325</v>
      </c>
      <c r="H27" s="12" t="s">
        <v>509</v>
      </c>
      <c r="I27" s="12" t="s">
        <v>683</v>
      </c>
      <c r="J27" s="12" t="s">
        <v>684</v>
      </c>
      <c r="K27" s="12" t="s">
        <v>685</v>
      </c>
      <c r="L27" s="12" t="s">
        <v>686</v>
      </c>
      <c r="M27" s="12" t="s">
        <v>532</v>
      </c>
      <c r="N27" s="12" t="s">
        <v>515</v>
      </c>
      <c r="O27" s="12" t="s">
        <v>516</v>
      </c>
    </row>
    <row r="28" customFormat="false" ht="15" hidden="false" customHeight="false" outlineLevel="0" collapsed="false">
      <c r="A28" s="11" t="s">
        <v>687</v>
      </c>
      <c r="B28" s="11" t="s">
        <v>662</v>
      </c>
      <c r="C28" s="11" t="s">
        <v>681</v>
      </c>
      <c r="D28" s="11" t="s">
        <v>410</v>
      </c>
      <c r="E28" s="11" t="s">
        <v>688</v>
      </c>
      <c r="F28" s="11" t="s">
        <v>508</v>
      </c>
      <c r="G28" s="11" t="s">
        <v>334</v>
      </c>
      <c r="H28" s="11" t="s">
        <v>536</v>
      </c>
      <c r="I28" s="11" t="s">
        <v>689</v>
      </c>
      <c r="J28" s="11" t="s">
        <v>690</v>
      </c>
      <c r="K28" s="11" t="s">
        <v>380</v>
      </c>
      <c r="L28" s="11" t="s">
        <v>691</v>
      </c>
      <c r="M28" s="11" t="s">
        <v>532</v>
      </c>
      <c r="N28" s="11" t="s">
        <v>548</v>
      </c>
      <c r="O28" s="11" t="s">
        <v>516</v>
      </c>
    </row>
    <row r="29" customFormat="false" ht="23.85" hidden="false" customHeight="false" outlineLevel="0" collapsed="false">
      <c r="A29" s="12" t="s">
        <v>692</v>
      </c>
      <c r="B29" s="12" t="s">
        <v>662</v>
      </c>
      <c r="C29" s="12" t="s">
        <v>693</v>
      </c>
      <c r="D29" s="12" t="s">
        <v>410</v>
      </c>
      <c r="E29" s="12" t="s">
        <v>694</v>
      </c>
      <c r="F29" s="12" t="s">
        <v>508</v>
      </c>
      <c r="G29" s="12" t="s">
        <v>329</v>
      </c>
      <c r="H29" s="12" t="s">
        <v>536</v>
      </c>
      <c r="I29" s="12" t="s">
        <v>695</v>
      </c>
      <c r="J29" s="12" t="s">
        <v>696</v>
      </c>
      <c r="K29" s="12" t="s">
        <v>380</v>
      </c>
      <c r="L29" s="12" t="s">
        <v>697</v>
      </c>
      <c r="M29" s="12" t="s">
        <v>532</v>
      </c>
      <c r="N29" s="12" t="s">
        <v>548</v>
      </c>
      <c r="O29" s="12" t="s">
        <v>516</v>
      </c>
    </row>
    <row r="30" customFormat="false" ht="23.85" hidden="false" customHeight="false" outlineLevel="0" collapsed="false">
      <c r="A30" s="11" t="s">
        <v>698</v>
      </c>
      <c r="B30" s="11" t="s">
        <v>662</v>
      </c>
      <c r="C30" s="11" t="s">
        <v>699</v>
      </c>
      <c r="D30" s="11" t="s">
        <v>410</v>
      </c>
      <c r="E30" s="11" t="s">
        <v>700</v>
      </c>
      <c r="F30" s="11" t="s">
        <v>508</v>
      </c>
      <c r="G30" s="11" t="s">
        <v>334</v>
      </c>
      <c r="H30" s="11" t="s">
        <v>536</v>
      </c>
      <c r="I30" s="11" t="s">
        <v>701</v>
      </c>
      <c r="J30" s="11" t="s">
        <v>702</v>
      </c>
      <c r="K30" s="11" t="s">
        <v>380</v>
      </c>
      <c r="L30" s="11" t="s">
        <v>703</v>
      </c>
      <c r="M30" s="11" t="s">
        <v>532</v>
      </c>
      <c r="N30" s="11" t="s">
        <v>548</v>
      </c>
      <c r="O30" s="11" t="s">
        <v>516</v>
      </c>
    </row>
    <row r="31" customFormat="false" ht="23.85" hidden="false" customHeight="false" outlineLevel="0" collapsed="false">
      <c r="A31" s="12" t="s">
        <v>704</v>
      </c>
      <c r="B31" s="12" t="s">
        <v>662</v>
      </c>
      <c r="C31" s="12" t="s">
        <v>705</v>
      </c>
      <c r="D31" s="12" t="s">
        <v>410</v>
      </c>
      <c r="E31" s="12" t="s">
        <v>706</v>
      </c>
      <c r="F31" s="12" t="s">
        <v>508</v>
      </c>
      <c r="G31" s="12" t="s">
        <v>329</v>
      </c>
      <c r="H31" s="12" t="s">
        <v>509</v>
      </c>
      <c r="I31" s="12" t="s">
        <v>707</v>
      </c>
      <c r="J31" s="12" t="s">
        <v>708</v>
      </c>
      <c r="K31" s="12" t="s">
        <v>380</v>
      </c>
      <c r="L31" s="12" t="s">
        <v>709</v>
      </c>
      <c r="M31" s="12" t="s">
        <v>532</v>
      </c>
      <c r="N31" s="12" t="s">
        <v>515</v>
      </c>
      <c r="O31" s="12" t="s">
        <v>516</v>
      </c>
    </row>
    <row r="32" customFormat="false" ht="23.85" hidden="false" customHeight="false" outlineLevel="0" collapsed="false">
      <c r="A32" s="11" t="s">
        <v>710</v>
      </c>
      <c r="B32" s="11" t="s">
        <v>662</v>
      </c>
      <c r="C32" s="11" t="s">
        <v>711</v>
      </c>
      <c r="D32" s="11" t="s">
        <v>414</v>
      </c>
      <c r="E32" s="11" t="s">
        <v>712</v>
      </c>
      <c r="F32" s="11" t="s">
        <v>508</v>
      </c>
      <c r="G32" s="11" t="s">
        <v>329</v>
      </c>
      <c r="H32" s="11" t="s">
        <v>536</v>
      </c>
      <c r="I32" s="11" t="s">
        <v>713</v>
      </c>
      <c r="J32" s="11" t="s">
        <v>714</v>
      </c>
      <c r="K32" s="11" t="s">
        <v>380</v>
      </c>
      <c r="L32" s="11" t="s">
        <v>715</v>
      </c>
      <c r="M32" s="11" t="s">
        <v>532</v>
      </c>
      <c r="N32" s="11" t="s">
        <v>515</v>
      </c>
      <c r="O32" s="11" t="s">
        <v>516</v>
      </c>
    </row>
    <row r="33" customFormat="false" ht="15" hidden="false" customHeight="false" outlineLevel="0" collapsed="false">
      <c r="A33" s="12" t="s">
        <v>716</v>
      </c>
      <c r="B33" s="12" t="s">
        <v>662</v>
      </c>
      <c r="C33" s="12" t="s">
        <v>717</v>
      </c>
      <c r="D33" s="12" t="s">
        <v>414</v>
      </c>
      <c r="E33" s="12" t="s">
        <v>718</v>
      </c>
      <c r="F33" s="12" t="s">
        <v>508</v>
      </c>
      <c r="G33" s="12" t="s">
        <v>325</v>
      </c>
      <c r="H33" s="12" t="s">
        <v>536</v>
      </c>
      <c r="I33" s="12" t="s">
        <v>719</v>
      </c>
      <c r="J33" s="12" t="s">
        <v>720</v>
      </c>
      <c r="K33" s="12" t="s">
        <v>721</v>
      </c>
      <c r="L33" s="12" t="s">
        <v>722</v>
      </c>
      <c r="M33" s="12" t="s">
        <v>532</v>
      </c>
      <c r="N33" s="12" t="s">
        <v>548</v>
      </c>
      <c r="O33" s="12" t="s">
        <v>516</v>
      </c>
    </row>
    <row r="34" customFormat="false" ht="15" hidden="false" customHeight="false" outlineLevel="0" collapsed="false">
      <c r="A34" s="11" t="s">
        <v>723</v>
      </c>
      <c r="B34" s="11" t="s">
        <v>662</v>
      </c>
      <c r="C34" s="11" t="s">
        <v>724</v>
      </c>
      <c r="D34" s="11" t="s">
        <v>414</v>
      </c>
      <c r="E34" s="11" t="s">
        <v>725</v>
      </c>
      <c r="F34" s="11" t="s">
        <v>508</v>
      </c>
      <c r="G34" s="11" t="s">
        <v>329</v>
      </c>
      <c r="H34" s="11" t="s">
        <v>552</v>
      </c>
      <c r="I34" s="11" t="s">
        <v>726</v>
      </c>
      <c r="J34" s="11" t="s">
        <v>727</v>
      </c>
      <c r="K34" s="11" t="s">
        <v>728</v>
      </c>
      <c r="L34" s="11" t="s">
        <v>729</v>
      </c>
      <c r="M34" s="11" t="s">
        <v>532</v>
      </c>
      <c r="N34" s="11" t="s">
        <v>515</v>
      </c>
      <c r="O34" s="11" t="s">
        <v>516</v>
      </c>
    </row>
    <row r="35" customFormat="false" ht="15" hidden="false" customHeight="false" outlineLevel="0" collapsed="false">
      <c r="A35" s="12" t="s">
        <v>730</v>
      </c>
      <c r="B35" s="12" t="s">
        <v>662</v>
      </c>
      <c r="C35" s="12" t="s">
        <v>731</v>
      </c>
      <c r="D35" s="12" t="s">
        <v>414</v>
      </c>
      <c r="E35" s="12" t="s">
        <v>732</v>
      </c>
      <c r="F35" s="12" t="s">
        <v>508</v>
      </c>
      <c r="G35" s="12" t="s">
        <v>325</v>
      </c>
      <c r="H35" s="12" t="s">
        <v>552</v>
      </c>
      <c r="I35" s="12" t="s">
        <v>733</v>
      </c>
      <c r="J35" s="12" t="s">
        <v>734</v>
      </c>
      <c r="K35" s="12" t="s">
        <v>380</v>
      </c>
      <c r="L35" s="12" t="s">
        <v>735</v>
      </c>
      <c r="M35" s="12" t="s">
        <v>532</v>
      </c>
      <c r="N35" s="12" t="s">
        <v>515</v>
      </c>
      <c r="O35" s="12" t="s">
        <v>516</v>
      </c>
    </row>
    <row r="36" customFormat="false" ht="15" hidden="false" customHeight="false" outlineLevel="0" collapsed="false">
      <c r="A36" s="11" t="s">
        <v>736</v>
      </c>
      <c r="B36" s="11" t="s">
        <v>662</v>
      </c>
      <c r="C36" s="11" t="s">
        <v>737</v>
      </c>
      <c r="D36" s="11" t="s">
        <v>410</v>
      </c>
      <c r="E36" s="11" t="s">
        <v>738</v>
      </c>
      <c r="F36" s="11" t="s">
        <v>508</v>
      </c>
      <c r="G36" s="11" t="s">
        <v>325</v>
      </c>
      <c r="H36" s="11" t="s">
        <v>552</v>
      </c>
      <c r="I36" s="11" t="s">
        <v>739</v>
      </c>
      <c r="J36" s="11" t="s">
        <v>740</v>
      </c>
      <c r="K36" s="11" t="s">
        <v>380</v>
      </c>
      <c r="L36" s="11" t="s">
        <v>741</v>
      </c>
      <c r="M36" s="11" t="s">
        <v>532</v>
      </c>
      <c r="N36" s="11" t="s">
        <v>515</v>
      </c>
      <c r="O36" s="11" t="s">
        <v>516</v>
      </c>
    </row>
    <row r="37" customFormat="false" ht="23.85" hidden="false" customHeight="false" outlineLevel="0" collapsed="false">
      <c r="A37" s="12" t="s">
        <v>742</v>
      </c>
      <c r="B37" s="12" t="s">
        <v>418</v>
      </c>
      <c r="C37" s="12" t="s">
        <v>743</v>
      </c>
      <c r="D37" s="12" t="s">
        <v>417</v>
      </c>
      <c r="E37" s="12" t="s">
        <v>744</v>
      </c>
      <c r="F37" s="12" t="s">
        <v>508</v>
      </c>
      <c r="G37" s="12" t="s">
        <v>325</v>
      </c>
      <c r="H37" s="12" t="s">
        <v>509</v>
      </c>
      <c r="I37" s="12" t="s">
        <v>745</v>
      </c>
      <c r="J37" s="12" t="s">
        <v>746</v>
      </c>
      <c r="K37" s="12" t="s">
        <v>747</v>
      </c>
      <c r="L37" s="12" t="s">
        <v>748</v>
      </c>
      <c r="M37" s="12" t="s">
        <v>514</v>
      </c>
      <c r="N37" s="12" t="s">
        <v>515</v>
      </c>
      <c r="O37" s="12" t="s">
        <v>516</v>
      </c>
    </row>
    <row r="38" customFormat="false" ht="15" hidden="false" customHeight="false" outlineLevel="0" collapsed="false">
      <c r="A38" s="11" t="s">
        <v>749</v>
      </c>
      <c r="B38" s="11" t="s">
        <v>418</v>
      </c>
      <c r="C38" s="11" t="s">
        <v>750</v>
      </c>
      <c r="D38" s="11" t="s">
        <v>417</v>
      </c>
      <c r="E38" s="11" t="s">
        <v>751</v>
      </c>
      <c r="F38" s="11" t="s">
        <v>508</v>
      </c>
      <c r="G38" s="11" t="s">
        <v>325</v>
      </c>
      <c r="H38" s="11" t="s">
        <v>536</v>
      </c>
      <c r="I38" s="11" t="s">
        <v>752</v>
      </c>
      <c r="J38" s="11" t="s">
        <v>753</v>
      </c>
      <c r="K38" s="11" t="s">
        <v>380</v>
      </c>
      <c r="L38" s="11" t="s">
        <v>754</v>
      </c>
      <c r="M38" s="11" t="s">
        <v>532</v>
      </c>
      <c r="N38" s="11" t="s">
        <v>515</v>
      </c>
      <c r="O38" s="11" t="s">
        <v>516</v>
      </c>
    </row>
    <row r="39" customFormat="false" ht="15" hidden="false" customHeight="false" outlineLevel="0" collapsed="false">
      <c r="A39" s="12" t="s">
        <v>755</v>
      </c>
      <c r="B39" s="12" t="s">
        <v>418</v>
      </c>
      <c r="C39" s="12" t="s">
        <v>756</v>
      </c>
      <c r="D39" s="12" t="s">
        <v>417</v>
      </c>
      <c r="E39" s="12" t="s">
        <v>757</v>
      </c>
      <c r="F39" s="12" t="s">
        <v>508</v>
      </c>
      <c r="G39" s="12" t="s">
        <v>325</v>
      </c>
      <c r="H39" s="12" t="s">
        <v>536</v>
      </c>
      <c r="I39" s="12" t="s">
        <v>758</v>
      </c>
      <c r="J39" s="12" t="s">
        <v>759</v>
      </c>
      <c r="K39" s="12" t="s">
        <v>760</v>
      </c>
      <c r="L39" s="12" t="s">
        <v>761</v>
      </c>
      <c r="M39" s="12" t="s">
        <v>532</v>
      </c>
      <c r="N39" s="12" t="s">
        <v>548</v>
      </c>
      <c r="O39" s="12" t="s">
        <v>516</v>
      </c>
    </row>
    <row r="40" customFormat="false" ht="15" hidden="false" customHeight="false" outlineLevel="0" collapsed="false">
      <c r="A40" s="11" t="s">
        <v>762</v>
      </c>
      <c r="B40" s="11" t="s">
        <v>418</v>
      </c>
      <c r="C40" s="11" t="s">
        <v>763</v>
      </c>
      <c r="D40" s="11" t="s">
        <v>417</v>
      </c>
      <c r="E40" s="11" t="s">
        <v>764</v>
      </c>
      <c r="F40" s="11" t="s">
        <v>508</v>
      </c>
      <c r="G40" s="11" t="s">
        <v>325</v>
      </c>
      <c r="H40" s="11" t="s">
        <v>552</v>
      </c>
      <c r="I40" s="11" t="s">
        <v>765</v>
      </c>
      <c r="J40" s="11" t="s">
        <v>766</v>
      </c>
      <c r="K40" s="11" t="s">
        <v>767</v>
      </c>
      <c r="L40" s="11" t="s">
        <v>768</v>
      </c>
      <c r="M40" s="11" t="s">
        <v>532</v>
      </c>
      <c r="N40" s="11" t="s">
        <v>548</v>
      </c>
      <c r="O40" s="11" t="s">
        <v>516</v>
      </c>
    </row>
    <row r="41" customFormat="false" ht="23.85" hidden="false" customHeight="false" outlineLevel="0" collapsed="false">
      <c r="A41" s="12" t="s">
        <v>769</v>
      </c>
      <c r="B41" s="12" t="s">
        <v>418</v>
      </c>
      <c r="C41" s="12" t="s">
        <v>770</v>
      </c>
      <c r="D41" s="12" t="s">
        <v>417</v>
      </c>
      <c r="E41" s="12" t="s">
        <v>771</v>
      </c>
      <c r="F41" s="12" t="s">
        <v>508</v>
      </c>
      <c r="G41" s="12" t="s">
        <v>329</v>
      </c>
      <c r="H41" s="12" t="s">
        <v>509</v>
      </c>
      <c r="I41" s="12" t="s">
        <v>772</v>
      </c>
      <c r="J41" s="12" t="s">
        <v>773</v>
      </c>
      <c r="K41" s="12" t="s">
        <v>380</v>
      </c>
      <c r="L41" s="12" t="s">
        <v>774</v>
      </c>
      <c r="M41" s="12" t="s">
        <v>532</v>
      </c>
      <c r="N41" s="12" t="s">
        <v>515</v>
      </c>
      <c r="O41" s="12" t="s">
        <v>516</v>
      </c>
    </row>
    <row r="42" customFormat="false" ht="23.85" hidden="false" customHeight="false" outlineLevel="0" collapsed="false">
      <c r="A42" s="11" t="s">
        <v>775</v>
      </c>
      <c r="B42" s="11" t="s">
        <v>418</v>
      </c>
      <c r="C42" s="11" t="s">
        <v>776</v>
      </c>
      <c r="D42" s="11" t="s">
        <v>417</v>
      </c>
      <c r="E42" s="11" t="s">
        <v>777</v>
      </c>
      <c r="F42" s="11" t="s">
        <v>508</v>
      </c>
      <c r="G42" s="11" t="s">
        <v>334</v>
      </c>
      <c r="H42" s="11" t="s">
        <v>536</v>
      </c>
      <c r="I42" s="11" t="s">
        <v>778</v>
      </c>
      <c r="J42" s="11" t="s">
        <v>779</v>
      </c>
      <c r="K42" s="11" t="s">
        <v>380</v>
      </c>
      <c r="L42" s="11" t="s">
        <v>780</v>
      </c>
      <c r="M42" s="11" t="s">
        <v>532</v>
      </c>
      <c r="N42" s="11" t="s">
        <v>548</v>
      </c>
      <c r="O42" s="11" t="s">
        <v>516</v>
      </c>
    </row>
    <row r="43" customFormat="false" ht="15" hidden="false" customHeight="false" outlineLevel="0" collapsed="false">
      <c r="A43" s="12" t="s">
        <v>781</v>
      </c>
      <c r="B43" s="12" t="s">
        <v>423</v>
      </c>
      <c r="C43" s="12" t="s">
        <v>782</v>
      </c>
      <c r="D43" s="12" t="s">
        <v>421</v>
      </c>
      <c r="E43" s="12" t="s">
        <v>783</v>
      </c>
      <c r="F43" s="12" t="s">
        <v>508</v>
      </c>
      <c r="G43" s="12" t="s">
        <v>329</v>
      </c>
      <c r="H43" s="12" t="s">
        <v>536</v>
      </c>
      <c r="I43" s="12" t="s">
        <v>784</v>
      </c>
      <c r="J43" s="12" t="s">
        <v>785</v>
      </c>
      <c r="K43" s="12" t="s">
        <v>380</v>
      </c>
      <c r="L43" s="12" t="s">
        <v>786</v>
      </c>
      <c r="M43" s="12" t="s">
        <v>532</v>
      </c>
      <c r="N43" s="12" t="s">
        <v>515</v>
      </c>
      <c r="O43" s="12" t="s">
        <v>516</v>
      </c>
    </row>
    <row r="44" customFormat="false" ht="23.85" hidden="false" customHeight="false" outlineLevel="0" collapsed="false">
      <c r="A44" s="11" t="s">
        <v>787</v>
      </c>
      <c r="B44" s="11" t="s">
        <v>418</v>
      </c>
      <c r="C44" s="11" t="s">
        <v>528</v>
      </c>
      <c r="D44" s="11" t="s">
        <v>417</v>
      </c>
      <c r="E44" s="11" t="s">
        <v>788</v>
      </c>
      <c r="F44" s="11" t="s">
        <v>528</v>
      </c>
      <c r="G44" s="11" t="s">
        <v>325</v>
      </c>
      <c r="H44" s="11" t="s">
        <v>536</v>
      </c>
      <c r="I44" s="11" t="s">
        <v>380</v>
      </c>
      <c r="J44" s="11" t="s">
        <v>789</v>
      </c>
      <c r="K44" s="11" t="s">
        <v>380</v>
      </c>
      <c r="L44" s="11" t="s">
        <v>790</v>
      </c>
      <c r="M44" s="11" t="s">
        <v>532</v>
      </c>
      <c r="N44" s="11" t="s">
        <v>515</v>
      </c>
      <c r="O44" s="11" t="s">
        <v>516</v>
      </c>
    </row>
    <row r="45" customFormat="false" ht="15" hidden="false" customHeight="false" outlineLevel="0" collapsed="false">
      <c r="A45" s="12" t="s">
        <v>791</v>
      </c>
      <c r="B45" s="12" t="s">
        <v>55</v>
      </c>
      <c r="C45" s="12" t="s">
        <v>792</v>
      </c>
      <c r="D45" s="12" t="s">
        <v>424</v>
      </c>
      <c r="E45" s="12" t="s">
        <v>793</v>
      </c>
      <c r="F45" s="12" t="s">
        <v>508</v>
      </c>
      <c r="G45" s="12" t="s">
        <v>325</v>
      </c>
      <c r="H45" s="12" t="s">
        <v>509</v>
      </c>
      <c r="I45" s="12" t="s">
        <v>794</v>
      </c>
      <c r="J45" s="12" t="s">
        <v>795</v>
      </c>
      <c r="K45" s="12" t="s">
        <v>796</v>
      </c>
      <c r="L45" s="12" t="s">
        <v>797</v>
      </c>
      <c r="M45" s="12" t="s">
        <v>524</v>
      </c>
      <c r="N45" s="12" t="s">
        <v>548</v>
      </c>
      <c r="O45" s="12" t="s">
        <v>516</v>
      </c>
    </row>
    <row r="46" customFormat="false" ht="23.85" hidden="false" customHeight="false" outlineLevel="0" collapsed="false">
      <c r="A46" s="11" t="s">
        <v>798</v>
      </c>
      <c r="B46" s="11" t="s">
        <v>55</v>
      </c>
      <c r="C46" s="11" t="s">
        <v>792</v>
      </c>
      <c r="D46" s="11" t="s">
        <v>424</v>
      </c>
      <c r="E46" s="11" t="s">
        <v>799</v>
      </c>
      <c r="F46" s="11" t="s">
        <v>528</v>
      </c>
      <c r="G46" s="11" t="s">
        <v>325</v>
      </c>
      <c r="H46" s="11" t="s">
        <v>509</v>
      </c>
      <c r="I46" s="11" t="s">
        <v>380</v>
      </c>
      <c r="J46" s="11" t="s">
        <v>800</v>
      </c>
      <c r="K46" s="11" t="s">
        <v>801</v>
      </c>
      <c r="L46" s="11" t="s">
        <v>802</v>
      </c>
      <c r="M46" s="11" t="s">
        <v>532</v>
      </c>
      <c r="N46" s="11" t="s">
        <v>548</v>
      </c>
      <c r="O46" s="11" t="s">
        <v>516</v>
      </c>
    </row>
    <row r="47" customFormat="false" ht="23.85" hidden="false" customHeight="false" outlineLevel="0" collapsed="false">
      <c r="A47" s="12" t="s">
        <v>803</v>
      </c>
      <c r="B47" s="12" t="s">
        <v>55</v>
      </c>
      <c r="C47" s="12" t="s">
        <v>804</v>
      </c>
      <c r="D47" s="12" t="s">
        <v>424</v>
      </c>
      <c r="E47" s="12" t="s">
        <v>805</v>
      </c>
      <c r="F47" s="12" t="s">
        <v>256</v>
      </c>
      <c r="G47" s="12" t="s">
        <v>329</v>
      </c>
      <c r="H47" s="12" t="s">
        <v>509</v>
      </c>
      <c r="I47" s="12" t="s">
        <v>806</v>
      </c>
      <c r="J47" s="12" t="s">
        <v>807</v>
      </c>
      <c r="K47" s="12" t="s">
        <v>808</v>
      </c>
      <c r="L47" s="12" t="s">
        <v>809</v>
      </c>
      <c r="M47" s="12" t="s">
        <v>586</v>
      </c>
      <c r="N47" s="12" t="s">
        <v>515</v>
      </c>
      <c r="O47" s="12" t="s">
        <v>516</v>
      </c>
    </row>
    <row r="48" customFormat="false" ht="15" hidden="false" customHeight="false" outlineLevel="0" collapsed="false">
      <c r="A48" s="11" t="s">
        <v>810</v>
      </c>
      <c r="B48" s="11" t="s">
        <v>55</v>
      </c>
      <c r="C48" s="11" t="s">
        <v>428</v>
      </c>
      <c r="D48" s="11" t="s">
        <v>426</v>
      </c>
      <c r="E48" s="11" t="s">
        <v>811</v>
      </c>
      <c r="F48" s="11" t="s">
        <v>508</v>
      </c>
      <c r="G48" s="11" t="s">
        <v>325</v>
      </c>
      <c r="H48" s="11" t="s">
        <v>509</v>
      </c>
      <c r="I48" s="11" t="s">
        <v>812</v>
      </c>
      <c r="J48" s="11" t="s">
        <v>813</v>
      </c>
      <c r="K48" s="11" t="s">
        <v>380</v>
      </c>
      <c r="L48" s="11" t="s">
        <v>814</v>
      </c>
      <c r="M48" s="11" t="s">
        <v>524</v>
      </c>
      <c r="N48" s="11" t="s">
        <v>515</v>
      </c>
      <c r="O48" s="11" t="s">
        <v>516</v>
      </c>
    </row>
    <row r="49" customFormat="false" ht="15" hidden="false" customHeight="false" outlineLevel="0" collapsed="false">
      <c r="A49" s="12" t="s">
        <v>815</v>
      </c>
      <c r="B49" s="12" t="s">
        <v>55</v>
      </c>
      <c r="C49" s="12" t="s">
        <v>428</v>
      </c>
      <c r="D49" s="12" t="s">
        <v>426</v>
      </c>
      <c r="E49" s="12" t="s">
        <v>816</v>
      </c>
      <c r="F49" s="12" t="s">
        <v>508</v>
      </c>
      <c r="G49" s="12" t="s">
        <v>334</v>
      </c>
      <c r="H49" s="12" t="s">
        <v>536</v>
      </c>
      <c r="I49" s="12" t="s">
        <v>817</v>
      </c>
      <c r="J49" s="12" t="s">
        <v>818</v>
      </c>
      <c r="K49" s="12" t="s">
        <v>819</v>
      </c>
      <c r="L49" s="12" t="s">
        <v>820</v>
      </c>
      <c r="M49" s="12" t="s">
        <v>532</v>
      </c>
      <c r="N49" s="12" t="s">
        <v>548</v>
      </c>
      <c r="O49" s="12" t="s">
        <v>516</v>
      </c>
    </row>
    <row r="50" customFormat="false" ht="23.85" hidden="false" customHeight="false" outlineLevel="0" collapsed="false">
      <c r="A50" s="11" t="s">
        <v>821</v>
      </c>
      <c r="B50" s="11" t="s">
        <v>55</v>
      </c>
      <c r="C50" s="11" t="s">
        <v>822</v>
      </c>
      <c r="D50" s="11" t="s">
        <v>429</v>
      </c>
      <c r="E50" s="11" t="s">
        <v>823</v>
      </c>
      <c r="F50" s="11" t="s">
        <v>508</v>
      </c>
      <c r="G50" s="11" t="s">
        <v>329</v>
      </c>
      <c r="H50" s="11" t="s">
        <v>509</v>
      </c>
      <c r="I50" s="11" t="s">
        <v>824</v>
      </c>
      <c r="J50" s="11" t="s">
        <v>825</v>
      </c>
      <c r="K50" s="11" t="s">
        <v>826</v>
      </c>
      <c r="L50" s="11" t="s">
        <v>827</v>
      </c>
      <c r="M50" s="11" t="s">
        <v>669</v>
      </c>
      <c r="N50" s="11" t="s">
        <v>515</v>
      </c>
      <c r="O50" s="11" t="s">
        <v>516</v>
      </c>
    </row>
    <row r="51" customFormat="false" ht="23.85" hidden="false" customHeight="false" outlineLevel="0" collapsed="false">
      <c r="A51" s="12" t="s">
        <v>828</v>
      </c>
      <c r="B51" s="12" t="s">
        <v>55</v>
      </c>
      <c r="C51" s="12" t="s">
        <v>822</v>
      </c>
      <c r="D51" s="12" t="s">
        <v>429</v>
      </c>
      <c r="E51" s="12" t="s">
        <v>829</v>
      </c>
      <c r="F51" s="12" t="s">
        <v>508</v>
      </c>
      <c r="G51" s="12" t="s">
        <v>329</v>
      </c>
      <c r="H51" s="12" t="s">
        <v>509</v>
      </c>
      <c r="I51" s="12" t="s">
        <v>830</v>
      </c>
      <c r="J51" s="12" t="s">
        <v>831</v>
      </c>
      <c r="K51" s="12" t="s">
        <v>832</v>
      </c>
      <c r="L51" s="12" t="s">
        <v>833</v>
      </c>
      <c r="M51" s="12" t="s">
        <v>532</v>
      </c>
      <c r="N51" s="12" t="s">
        <v>515</v>
      </c>
      <c r="O51" s="12" t="s">
        <v>516</v>
      </c>
    </row>
    <row r="52" customFormat="false" ht="15" hidden="false" customHeight="false" outlineLevel="0" collapsed="false">
      <c r="A52" s="11" t="s">
        <v>834</v>
      </c>
      <c r="B52" s="11" t="s">
        <v>55</v>
      </c>
      <c r="C52" s="11" t="s">
        <v>822</v>
      </c>
      <c r="D52" s="11" t="s">
        <v>429</v>
      </c>
      <c r="E52" s="11" t="s">
        <v>835</v>
      </c>
      <c r="F52" s="11" t="s">
        <v>528</v>
      </c>
      <c r="G52" s="11" t="s">
        <v>329</v>
      </c>
      <c r="H52" s="11" t="s">
        <v>509</v>
      </c>
      <c r="I52" s="11" t="s">
        <v>836</v>
      </c>
      <c r="J52" s="11" t="s">
        <v>837</v>
      </c>
      <c r="K52" s="11" t="s">
        <v>838</v>
      </c>
      <c r="L52" s="11" t="s">
        <v>839</v>
      </c>
      <c r="M52" s="11" t="s">
        <v>540</v>
      </c>
      <c r="N52" s="11" t="s">
        <v>515</v>
      </c>
      <c r="O52" s="11" t="s">
        <v>516</v>
      </c>
    </row>
    <row r="53" customFormat="false" ht="23.85" hidden="false" customHeight="false" outlineLevel="0" collapsed="false">
      <c r="A53" s="12" t="s">
        <v>840</v>
      </c>
      <c r="B53" s="12" t="s">
        <v>55</v>
      </c>
      <c r="C53" s="12" t="s">
        <v>822</v>
      </c>
      <c r="D53" s="12" t="s">
        <v>429</v>
      </c>
      <c r="E53" s="12" t="s">
        <v>841</v>
      </c>
      <c r="F53" s="12" t="s">
        <v>508</v>
      </c>
      <c r="G53" s="12" t="s">
        <v>329</v>
      </c>
      <c r="H53" s="12" t="s">
        <v>536</v>
      </c>
      <c r="I53" s="12" t="s">
        <v>842</v>
      </c>
      <c r="J53" s="12" t="s">
        <v>843</v>
      </c>
      <c r="K53" s="12" t="s">
        <v>380</v>
      </c>
      <c r="L53" s="12" t="s">
        <v>844</v>
      </c>
      <c r="M53" s="12" t="s">
        <v>532</v>
      </c>
      <c r="N53" s="12" t="s">
        <v>515</v>
      </c>
      <c r="O53" s="12" t="s">
        <v>516</v>
      </c>
    </row>
    <row r="54" customFormat="false" ht="23.85" hidden="false" customHeight="false" outlineLevel="0" collapsed="false">
      <c r="A54" s="11" t="s">
        <v>845</v>
      </c>
      <c r="B54" s="11" t="s">
        <v>433</v>
      </c>
      <c r="C54" s="11" t="s">
        <v>142</v>
      </c>
      <c r="D54" s="11" t="s">
        <v>432</v>
      </c>
      <c r="E54" s="11" t="s">
        <v>846</v>
      </c>
      <c r="F54" s="11" t="s">
        <v>508</v>
      </c>
      <c r="G54" s="11" t="s">
        <v>325</v>
      </c>
      <c r="H54" s="11" t="s">
        <v>509</v>
      </c>
      <c r="I54" s="11" t="s">
        <v>847</v>
      </c>
      <c r="J54" s="11" t="s">
        <v>848</v>
      </c>
      <c r="K54" s="11" t="s">
        <v>380</v>
      </c>
      <c r="L54" s="11" t="s">
        <v>849</v>
      </c>
      <c r="M54" s="11" t="s">
        <v>524</v>
      </c>
      <c r="N54" s="11" t="s">
        <v>515</v>
      </c>
      <c r="O54" s="11" t="s">
        <v>516</v>
      </c>
    </row>
    <row r="55" customFormat="false" ht="15" hidden="false" customHeight="false" outlineLevel="0" collapsed="false">
      <c r="A55" s="12" t="s">
        <v>850</v>
      </c>
      <c r="B55" s="12" t="s">
        <v>433</v>
      </c>
      <c r="C55" s="12" t="s">
        <v>851</v>
      </c>
      <c r="D55" s="12" t="s">
        <v>432</v>
      </c>
      <c r="E55" s="12" t="s">
        <v>852</v>
      </c>
      <c r="F55" s="12" t="s">
        <v>508</v>
      </c>
      <c r="G55" s="12" t="s">
        <v>329</v>
      </c>
      <c r="H55" s="12" t="s">
        <v>509</v>
      </c>
      <c r="I55" s="12" t="s">
        <v>853</v>
      </c>
      <c r="J55" s="12" t="s">
        <v>854</v>
      </c>
      <c r="K55" s="12" t="s">
        <v>380</v>
      </c>
      <c r="L55" s="12" t="s">
        <v>855</v>
      </c>
      <c r="M55" s="12" t="s">
        <v>532</v>
      </c>
      <c r="N55" s="12" t="s">
        <v>515</v>
      </c>
      <c r="O55" s="12" t="s">
        <v>516</v>
      </c>
    </row>
    <row r="56" customFormat="false" ht="23.85" hidden="false" customHeight="false" outlineLevel="0" collapsed="false">
      <c r="A56" s="11" t="s">
        <v>856</v>
      </c>
      <c r="B56" s="11" t="s">
        <v>433</v>
      </c>
      <c r="C56" s="11" t="s">
        <v>51</v>
      </c>
      <c r="D56" s="11" t="s">
        <v>432</v>
      </c>
      <c r="E56" s="11" t="s">
        <v>857</v>
      </c>
      <c r="F56" s="11" t="s">
        <v>508</v>
      </c>
      <c r="G56" s="11" t="s">
        <v>334</v>
      </c>
      <c r="H56" s="11" t="s">
        <v>509</v>
      </c>
      <c r="I56" s="11" t="s">
        <v>858</v>
      </c>
      <c r="J56" s="11" t="s">
        <v>859</v>
      </c>
      <c r="K56" s="11" t="s">
        <v>380</v>
      </c>
      <c r="L56" s="11" t="s">
        <v>860</v>
      </c>
      <c r="M56" s="11" t="s">
        <v>524</v>
      </c>
      <c r="N56" s="11" t="s">
        <v>548</v>
      </c>
      <c r="O56" s="11" t="s">
        <v>516</v>
      </c>
    </row>
    <row r="57" customFormat="false" ht="15" hidden="false" customHeight="false" outlineLevel="0" collapsed="false">
      <c r="A57" s="12" t="s">
        <v>861</v>
      </c>
      <c r="B57" s="12" t="s">
        <v>433</v>
      </c>
      <c r="C57" s="12" t="s">
        <v>51</v>
      </c>
      <c r="D57" s="12" t="s">
        <v>432</v>
      </c>
      <c r="E57" s="12" t="s">
        <v>862</v>
      </c>
      <c r="F57" s="12" t="s">
        <v>508</v>
      </c>
      <c r="G57" s="12" t="s">
        <v>334</v>
      </c>
      <c r="H57" s="12" t="s">
        <v>536</v>
      </c>
      <c r="I57" s="12" t="s">
        <v>863</v>
      </c>
      <c r="J57" s="12" t="s">
        <v>864</v>
      </c>
      <c r="K57" s="12" t="s">
        <v>380</v>
      </c>
      <c r="L57" s="12" t="s">
        <v>865</v>
      </c>
      <c r="M57" s="12" t="s">
        <v>532</v>
      </c>
      <c r="N57" s="12" t="s">
        <v>548</v>
      </c>
      <c r="O57" s="12" t="s">
        <v>516</v>
      </c>
    </row>
    <row r="58" customFormat="false" ht="23.85" hidden="false" customHeight="false" outlineLevel="0" collapsed="false">
      <c r="A58" s="11" t="s">
        <v>866</v>
      </c>
      <c r="B58" s="11" t="s">
        <v>433</v>
      </c>
      <c r="C58" s="11" t="s">
        <v>867</v>
      </c>
      <c r="D58" s="11" t="s">
        <v>432</v>
      </c>
      <c r="E58" s="11" t="s">
        <v>868</v>
      </c>
      <c r="F58" s="11" t="s">
        <v>508</v>
      </c>
      <c r="G58" s="11" t="s">
        <v>329</v>
      </c>
      <c r="H58" s="11" t="s">
        <v>536</v>
      </c>
      <c r="I58" s="11" t="s">
        <v>869</v>
      </c>
      <c r="J58" s="11" t="s">
        <v>870</v>
      </c>
      <c r="K58" s="11" t="s">
        <v>380</v>
      </c>
      <c r="L58" s="11" t="s">
        <v>871</v>
      </c>
      <c r="M58" s="11" t="s">
        <v>532</v>
      </c>
      <c r="N58" s="11" t="s">
        <v>548</v>
      </c>
      <c r="O58" s="11" t="s">
        <v>516</v>
      </c>
    </row>
    <row r="59" customFormat="false" ht="15" hidden="false" customHeight="false" outlineLevel="0" collapsed="false">
      <c r="A59" s="12" t="s">
        <v>872</v>
      </c>
      <c r="B59" s="12" t="s">
        <v>437</v>
      </c>
      <c r="C59" s="12" t="s">
        <v>576</v>
      </c>
      <c r="D59" s="12" t="s">
        <v>436</v>
      </c>
      <c r="E59" s="12" t="s">
        <v>873</v>
      </c>
      <c r="F59" s="12" t="s">
        <v>508</v>
      </c>
      <c r="G59" s="12" t="s">
        <v>325</v>
      </c>
      <c r="H59" s="12" t="s">
        <v>509</v>
      </c>
      <c r="I59" s="12" t="s">
        <v>874</v>
      </c>
      <c r="J59" s="12" t="s">
        <v>875</v>
      </c>
      <c r="K59" s="12" t="s">
        <v>876</v>
      </c>
      <c r="L59" s="12" t="s">
        <v>877</v>
      </c>
      <c r="M59" s="12" t="s">
        <v>524</v>
      </c>
      <c r="N59" s="12" t="s">
        <v>515</v>
      </c>
      <c r="O59" s="12" t="s">
        <v>516</v>
      </c>
    </row>
    <row r="60" customFormat="false" ht="15" hidden="false" customHeight="false" outlineLevel="0" collapsed="false">
      <c r="A60" s="11" t="s">
        <v>878</v>
      </c>
      <c r="B60" s="11" t="s">
        <v>437</v>
      </c>
      <c r="C60" s="11" t="s">
        <v>879</v>
      </c>
      <c r="D60" s="11" t="s">
        <v>436</v>
      </c>
      <c r="E60" s="11" t="s">
        <v>880</v>
      </c>
      <c r="F60" s="11" t="s">
        <v>508</v>
      </c>
      <c r="G60" s="11" t="s">
        <v>325</v>
      </c>
      <c r="H60" s="11" t="s">
        <v>509</v>
      </c>
      <c r="I60" s="11" t="s">
        <v>881</v>
      </c>
      <c r="J60" s="11" t="s">
        <v>882</v>
      </c>
      <c r="K60" s="11" t="s">
        <v>380</v>
      </c>
      <c r="L60" s="11" t="s">
        <v>883</v>
      </c>
      <c r="M60" s="11" t="s">
        <v>524</v>
      </c>
      <c r="N60" s="11" t="s">
        <v>515</v>
      </c>
      <c r="O60" s="11" t="s">
        <v>516</v>
      </c>
    </row>
    <row r="61" customFormat="false" ht="15" hidden="false" customHeight="false" outlineLevel="0" collapsed="false">
      <c r="A61" s="12" t="s">
        <v>884</v>
      </c>
      <c r="B61" s="12" t="s">
        <v>437</v>
      </c>
      <c r="C61" s="12" t="s">
        <v>885</v>
      </c>
      <c r="D61" s="12" t="s">
        <v>436</v>
      </c>
      <c r="E61" s="12" t="s">
        <v>886</v>
      </c>
      <c r="F61" s="12" t="s">
        <v>508</v>
      </c>
      <c r="G61" s="12" t="s">
        <v>334</v>
      </c>
      <c r="H61" s="12" t="s">
        <v>509</v>
      </c>
      <c r="I61" s="12" t="s">
        <v>887</v>
      </c>
      <c r="J61" s="12" t="s">
        <v>888</v>
      </c>
      <c r="K61" s="12" t="s">
        <v>380</v>
      </c>
      <c r="L61" s="12" t="s">
        <v>889</v>
      </c>
      <c r="M61" s="12" t="s">
        <v>532</v>
      </c>
      <c r="N61" s="12" t="s">
        <v>515</v>
      </c>
      <c r="O61" s="12" t="s">
        <v>516</v>
      </c>
    </row>
    <row r="62" customFormat="false" ht="15" hidden="false" customHeight="false" outlineLevel="0" collapsed="false">
      <c r="A62" s="11" t="s">
        <v>890</v>
      </c>
      <c r="B62" s="11" t="s">
        <v>437</v>
      </c>
      <c r="C62" s="11" t="s">
        <v>891</v>
      </c>
      <c r="D62" s="11" t="s">
        <v>436</v>
      </c>
      <c r="E62" s="11" t="s">
        <v>892</v>
      </c>
      <c r="F62" s="11" t="s">
        <v>508</v>
      </c>
      <c r="G62" s="11" t="s">
        <v>329</v>
      </c>
      <c r="H62" s="11" t="s">
        <v>509</v>
      </c>
      <c r="I62" s="11" t="s">
        <v>893</v>
      </c>
      <c r="J62" s="11" t="s">
        <v>894</v>
      </c>
      <c r="K62" s="11" t="s">
        <v>380</v>
      </c>
      <c r="L62" s="11" t="s">
        <v>895</v>
      </c>
      <c r="M62" s="11" t="s">
        <v>532</v>
      </c>
      <c r="N62" s="11" t="s">
        <v>515</v>
      </c>
      <c r="O62" s="11" t="s">
        <v>516</v>
      </c>
    </row>
    <row r="63" customFormat="false" ht="15" hidden="false" customHeight="false" outlineLevel="0" collapsed="false">
      <c r="A63" s="12" t="s">
        <v>896</v>
      </c>
      <c r="B63" s="12" t="s">
        <v>437</v>
      </c>
      <c r="C63" s="12" t="s">
        <v>750</v>
      </c>
      <c r="D63" s="12" t="s">
        <v>436</v>
      </c>
      <c r="E63" s="12" t="s">
        <v>897</v>
      </c>
      <c r="F63" s="12" t="s">
        <v>508</v>
      </c>
      <c r="G63" s="12" t="s">
        <v>325</v>
      </c>
      <c r="H63" s="12" t="s">
        <v>509</v>
      </c>
      <c r="I63" s="12" t="s">
        <v>898</v>
      </c>
      <c r="J63" s="12" t="s">
        <v>899</v>
      </c>
      <c r="K63" s="12" t="s">
        <v>380</v>
      </c>
      <c r="L63" s="12" t="s">
        <v>900</v>
      </c>
      <c r="M63" s="12" t="s">
        <v>524</v>
      </c>
      <c r="N63" s="12" t="s">
        <v>515</v>
      </c>
      <c r="O63" s="12" t="s">
        <v>516</v>
      </c>
    </row>
    <row r="64" customFormat="false" ht="23.85" hidden="false" customHeight="false" outlineLevel="0" collapsed="false">
      <c r="A64" s="11" t="s">
        <v>901</v>
      </c>
      <c r="B64" s="11" t="s">
        <v>437</v>
      </c>
      <c r="C64" s="11" t="s">
        <v>902</v>
      </c>
      <c r="D64" s="11" t="s">
        <v>436</v>
      </c>
      <c r="E64" s="11" t="s">
        <v>903</v>
      </c>
      <c r="F64" s="11" t="s">
        <v>508</v>
      </c>
      <c r="G64" s="11" t="s">
        <v>329</v>
      </c>
      <c r="H64" s="11" t="s">
        <v>509</v>
      </c>
      <c r="I64" s="11" t="s">
        <v>904</v>
      </c>
      <c r="J64" s="11" t="s">
        <v>905</v>
      </c>
      <c r="K64" s="11" t="s">
        <v>522</v>
      </c>
      <c r="L64" s="11" t="s">
        <v>906</v>
      </c>
      <c r="M64" s="11" t="s">
        <v>524</v>
      </c>
      <c r="N64" s="11" t="s">
        <v>515</v>
      </c>
      <c r="O64" s="11" t="s">
        <v>516</v>
      </c>
    </row>
    <row r="65" customFormat="false" ht="23.85" hidden="false" customHeight="false" outlineLevel="0" collapsed="false">
      <c r="A65" s="12" t="s">
        <v>907</v>
      </c>
      <c r="B65" s="12" t="s">
        <v>437</v>
      </c>
      <c r="C65" s="12" t="s">
        <v>902</v>
      </c>
      <c r="D65" s="12" t="s">
        <v>436</v>
      </c>
      <c r="E65" s="12" t="s">
        <v>908</v>
      </c>
      <c r="F65" s="12" t="s">
        <v>528</v>
      </c>
      <c r="G65" s="12" t="s">
        <v>325</v>
      </c>
      <c r="H65" s="12" t="s">
        <v>509</v>
      </c>
      <c r="I65" s="12" t="s">
        <v>904</v>
      </c>
      <c r="J65" s="12" t="s">
        <v>909</v>
      </c>
      <c r="K65" s="12" t="s">
        <v>910</v>
      </c>
      <c r="L65" s="12" t="s">
        <v>911</v>
      </c>
      <c r="M65" s="12" t="s">
        <v>532</v>
      </c>
      <c r="N65" s="12" t="s">
        <v>515</v>
      </c>
      <c r="O65" s="12" t="s">
        <v>516</v>
      </c>
    </row>
    <row r="66" customFormat="false" ht="23.85" hidden="false" customHeight="false" outlineLevel="0" collapsed="false">
      <c r="A66" s="11" t="s">
        <v>912</v>
      </c>
      <c r="B66" s="11" t="s">
        <v>437</v>
      </c>
      <c r="C66" s="11" t="s">
        <v>913</v>
      </c>
      <c r="D66" s="11" t="s">
        <v>436</v>
      </c>
      <c r="E66" s="11" t="s">
        <v>914</v>
      </c>
      <c r="F66" s="11" t="s">
        <v>508</v>
      </c>
      <c r="G66" s="11" t="s">
        <v>334</v>
      </c>
      <c r="H66" s="11" t="s">
        <v>536</v>
      </c>
      <c r="I66" s="11" t="s">
        <v>915</v>
      </c>
      <c r="J66" s="11" t="s">
        <v>916</v>
      </c>
      <c r="K66" s="11" t="s">
        <v>917</v>
      </c>
      <c r="L66" s="11" t="s">
        <v>918</v>
      </c>
      <c r="M66" s="11" t="s">
        <v>532</v>
      </c>
      <c r="N66" s="11" t="s">
        <v>548</v>
      </c>
      <c r="O66" s="11" t="s">
        <v>516</v>
      </c>
    </row>
    <row r="67" customFormat="false" ht="15" hidden="false" customHeight="false" outlineLevel="0" collapsed="false">
      <c r="A67" s="12" t="s">
        <v>919</v>
      </c>
      <c r="B67" s="12" t="s">
        <v>437</v>
      </c>
      <c r="C67" s="12" t="s">
        <v>920</v>
      </c>
      <c r="D67" s="12" t="s">
        <v>440</v>
      </c>
      <c r="E67" s="12" t="s">
        <v>921</v>
      </c>
      <c r="F67" s="12" t="s">
        <v>508</v>
      </c>
      <c r="G67" s="12" t="s">
        <v>329</v>
      </c>
      <c r="H67" s="12" t="s">
        <v>536</v>
      </c>
      <c r="I67" s="12" t="s">
        <v>922</v>
      </c>
      <c r="J67" s="12" t="s">
        <v>923</v>
      </c>
      <c r="K67" s="12" t="s">
        <v>380</v>
      </c>
      <c r="L67" s="12" t="s">
        <v>924</v>
      </c>
      <c r="M67" s="12" t="s">
        <v>532</v>
      </c>
      <c r="N67" s="12" t="s">
        <v>515</v>
      </c>
      <c r="O67" s="12" t="s">
        <v>516</v>
      </c>
    </row>
    <row r="68" customFormat="false" ht="15" hidden="false" customHeight="false" outlineLevel="0" collapsed="false">
      <c r="A68" s="11" t="s">
        <v>925</v>
      </c>
      <c r="B68" s="11" t="s">
        <v>437</v>
      </c>
      <c r="C68" s="11" t="s">
        <v>926</v>
      </c>
      <c r="D68" s="11" t="s">
        <v>440</v>
      </c>
      <c r="E68" s="11" t="s">
        <v>927</v>
      </c>
      <c r="F68" s="11" t="s">
        <v>508</v>
      </c>
      <c r="G68" s="11" t="s">
        <v>325</v>
      </c>
      <c r="H68" s="11" t="s">
        <v>536</v>
      </c>
      <c r="I68" s="11" t="s">
        <v>928</v>
      </c>
      <c r="J68" s="11" t="s">
        <v>929</v>
      </c>
      <c r="K68" s="11" t="s">
        <v>930</v>
      </c>
      <c r="L68" s="11" t="s">
        <v>931</v>
      </c>
      <c r="M68" s="11" t="s">
        <v>532</v>
      </c>
      <c r="N68" s="11" t="s">
        <v>548</v>
      </c>
      <c r="O68" s="11" t="s">
        <v>516</v>
      </c>
    </row>
    <row r="69" customFormat="false" ht="15" hidden="false" customHeight="false" outlineLevel="0" collapsed="false">
      <c r="A69" s="12" t="s">
        <v>932</v>
      </c>
      <c r="B69" s="12" t="s">
        <v>437</v>
      </c>
      <c r="C69" s="12" t="s">
        <v>933</v>
      </c>
      <c r="D69" s="12" t="s">
        <v>440</v>
      </c>
      <c r="E69" s="12" t="s">
        <v>934</v>
      </c>
      <c r="F69" s="12" t="s">
        <v>508</v>
      </c>
      <c r="G69" s="12" t="s">
        <v>325</v>
      </c>
      <c r="H69" s="12" t="s">
        <v>509</v>
      </c>
      <c r="I69" s="12" t="s">
        <v>881</v>
      </c>
      <c r="J69" s="12" t="s">
        <v>935</v>
      </c>
      <c r="K69" s="12" t="s">
        <v>936</v>
      </c>
      <c r="L69" s="12" t="s">
        <v>937</v>
      </c>
      <c r="M69" s="12" t="s">
        <v>669</v>
      </c>
      <c r="N69" s="12" t="s">
        <v>548</v>
      </c>
      <c r="O69" s="12" t="s">
        <v>516</v>
      </c>
    </row>
    <row r="70" customFormat="false" ht="23.85" hidden="false" customHeight="false" outlineLevel="0" collapsed="false">
      <c r="A70" s="11" t="s">
        <v>938</v>
      </c>
      <c r="B70" s="11" t="s">
        <v>437</v>
      </c>
      <c r="C70" s="11" t="s">
        <v>939</v>
      </c>
      <c r="D70" s="11" t="s">
        <v>443</v>
      </c>
      <c r="E70" s="11" t="s">
        <v>940</v>
      </c>
      <c r="F70" s="11" t="s">
        <v>508</v>
      </c>
      <c r="G70" s="11" t="s">
        <v>329</v>
      </c>
      <c r="H70" s="11" t="s">
        <v>509</v>
      </c>
      <c r="I70" s="11" t="s">
        <v>941</v>
      </c>
      <c r="J70" s="11" t="s">
        <v>942</v>
      </c>
      <c r="K70" s="11" t="s">
        <v>380</v>
      </c>
      <c r="L70" s="11" t="s">
        <v>943</v>
      </c>
      <c r="M70" s="11" t="s">
        <v>532</v>
      </c>
      <c r="N70" s="11" t="s">
        <v>515</v>
      </c>
      <c r="O70" s="11" t="s">
        <v>516</v>
      </c>
    </row>
    <row r="71" customFormat="false" ht="23.85" hidden="false" customHeight="false" outlineLevel="0" collapsed="false">
      <c r="A71" s="12" t="s">
        <v>944</v>
      </c>
      <c r="B71" s="12" t="s">
        <v>437</v>
      </c>
      <c r="C71" s="12" t="s">
        <v>939</v>
      </c>
      <c r="D71" s="12" t="s">
        <v>443</v>
      </c>
      <c r="E71" s="12" t="s">
        <v>945</v>
      </c>
      <c r="F71" s="12" t="s">
        <v>508</v>
      </c>
      <c r="G71" s="12" t="s">
        <v>329</v>
      </c>
      <c r="H71" s="12" t="s">
        <v>536</v>
      </c>
      <c r="I71" s="12" t="s">
        <v>946</v>
      </c>
      <c r="J71" s="12" t="s">
        <v>947</v>
      </c>
      <c r="K71" s="12" t="s">
        <v>380</v>
      </c>
      <c r="L71" s="12" t="s">
        <v>948</v>
      </c>
      <c r="M71" s="12" t="s">
        <v>532</v>
      </c>
      <c r="N71" s="12" t="s">
        <v>515</v>
      </c>
      <c r="O71" s="12" t="s">
        <v>516</v>
      </c>
    </row>
    <row r="72" customFormat="false" ht="15" hidden="false" customHeight="false" outlineLevel="0" collapsed="false">
      <c r="A72" s="11" t="s">
        <v>949</v>
      </c>
      <c r="B72" s="11" t="s">
        <v>437</v>
      </c>
      <c r="C72" s="11" t="s">
        <v>939</v>
      </c>
      <c r="D72" s="11" t="s">
        <v>443</v>
      </c>
      <c r="E72" s="11" t="s">
        <v>950</v>
      </c>
      <c r="F72" s="11" t="s">
        <v>508</v>
      </c>
      <c r="G72" s="11" t="s">
        <v>329</v>
      </c>
      <c r="H72" s="11" t="s">
        <v>509</v>
      </c>
      <c r="I72" s="11" t="s">
        <v>951</v>
      </c>
      <c r="J72" s="11" t="s">
        <v>952</v>
      </c>
      <c r="K72" s="11" t="s">
        <v>380</v>
      </c>
      <c r="L72" s="11" t="s">
        <v>953</v>
      </c>
      <c r="M72" s="11" t="s">
        <v>532</v>
      </c>
      <c r="N72" s="11" t="s">
        <v>515</v>
      </c>
      <c r="O72" s="11" t="s">
        <v>516</v>
      </c>
    </row>
    <row r="73" customFormat="false" ht="15" hidden="false" customHeight="false" outlineLevel="0" collapsed="false">
      <c r="A73" s="12" t="s">
        <v>954</v>
      </c>
      <c r="B73" s="12" t="s">
        <v>437</v>
      </c>
      <c r="C73" s="12" t="s">
        <v>448</v>
      </c>
      <c r="D73" s="12" t="s">
        <v>446</v>
      </c>
      <c r="E73" s="12" t="s">
        <v>955</v>
      </c>
      <c r="F73" s="12" t="s">
        <v>508</v>
      </c>
      <c r="G73" s="12" t="s">
        <v>334</v>
      </c>
      <c r="H73" s="12" t="s">
        <v>536</v>
      </c>
      <c r="I73" s="12" t="s">
        <v>956</v>
      </c>
      <c r="J73" s="12" t="s">
        <v>957</v>
      </c>
      <c r="K73" s="12" t="s">
        <v>380</v>
      </c>
      <c r="L73" s="12" t="s">
        <v>958</v>
      </c>
      <c r="M73" s="12" t="s">
        <v>532</v>
      </c>
      <c r="N73" s="12" t="s">
        <v>548</v>
      </c>
      <c r="O73" s="12" t="s">
        <v>516</v>
      </c>
    </row>
    <row r="74" customFormat="false" ht="15" hidden="false" customHeight="false" outlineLevel="0" collapsed="false">
      <c r="A74" s="11" t="s">
        <v>959</v>
      </c>
      <c r="B74" s="11" t="s">
        <v>437</v>
      </c>
      <c r="C74" s="11" t="s">
        <v>448</v>
      </c>
      <c r="D74" s="11" t="s">
        <v>446</v>
      </c>
      <c r="E74" s="11" t="s">
        <v>960</v>
      </c>
      <c r="F74" s="11" t="s">
        <v>508</v>
      </c>
      <c r="G74" s="11" t="s">
        <v>329</v>
      </c>
      <c r="H74" s="11" t="s">
        <v>536</v>
      </c>
      <c r="I74" s="11" t="s">
        <v>961</v>
      </c>
      <c r="J74" s="11" t="s">
        <v>962</v>
      </c>
      <c r="K74" s="11" t="s">
        <v>380</v>
      </c>
      <c r="L74" s="11" t="s">
        <v>963</v>
      </c>
      <c r="M74" s="11" t="s">
        <v>532</v>
      </c>
      <c r="N74" s="11" t="s">
        <v>515</v>
      </c>
      <c r="O74" s="11" t="s">
        <v>516</v>
      </c>
    </row>
    <row r="75" customFormat="false" ht="15" hidden="false" customHeight="false" outlineLevel="0" collapsed="false">
      <c r="A75" s="12" t="s">
        <v>964</v>
      </c>
      <c r="B75" s="12" t="s">
        <v>437</v>
      </c>
      <c r="C75" s="12" t="s">
        <v>451</v>
      </c>
      <c r="D75" s="12" t="s">
        <v>449</v>
      </c>
      <c r="E75" s="12" t="s">
        <v>965</v>
      </c>
      <c r="F75" s="12" t="s">
        <v>508</v>
      </c>
      <c r="G75" s="12" t="s">
        <v>325</v>
      </c>
      <c r="H75" s="12" t="s">
        <v>509</v>
      </c>
      <c r="I75" s="12" t="s">
        <v>966</v>
      </c>
      <c r="J75" s="12" t="s">
        <v>967</v>
      </c>
      <c r="K75" s="12" t="s">
        <v>380</v>
      </c>
      <c r="L75" s="12" t="s">
        <v>968</v>
      </c>
      <c r="M75" s="12" t="s">
        <v>669</v>
      </c>
      <c r="N75" s="12" t="s">
        <v>548</v>
      </c>
      <c r="O75" s="12" t="s">
        <v>516</v>
      </c>
    </row>
    <row r="76" customFormat="false" ht="15" hidden="false" customHeight="false" outlineLevel="0" collapsed="false">
      <c r="A76" s="11" t="s">
        <v>969</v>
      </c>
      <c r="B76" s="11" t="s">
        <v>437</v>
      </c>
      <c r="C76" s="11" t="s">
        <v>451</v>
      </c>
      <c r="D76" s="11" t="s">
        <v>449</v>
      </c>
      <c r="E76" s="11" t="s">
        <v>970</v>
      </c>
      <c r="F76" s="11" t="s">
        <v>508</v>
      </c>
      <c r="G76" s="11" t="s">
        <v>325</v>
      </c>
      <c r="H76" s="11" t="s">
        <v>552</v>
      </c>
      <c r="I76" s="11" t="s">
        <v>778</v>
      </c>
      <c r="J76" s="11" t="s">
        <v>971</v>
      </c>
      <c r="K76" s="11" t="s">
        <v>380</v>
      </c>
      <c r="L76" s="11" t="s">
        <v>972</v>
      </c>
      <c r="M76" s="11" t="s">
        <v>532</v>
      </c>
      <c r="N76" s="11" t="s">
        <v>548</v>
      </c>
      <c r="O76" s="11" t="s">
        <v>516</v>
      </c>
    </row>
    <row r="77" customFormat="false" ht="15" hidden="false" customHeight="false" outlineLevel="0" collapsed="false">
      <c r="A77" s="12" t="s">
        <v>973</v>
      </c>
      <c r="B77" s="12" t="s">
        <v>437</v>
      </c>
      <c r="C77" s="12" t="s">
        <v>974</v>
      </c>
      <c r="D77" s="12" t="s">
        <v>449</v>
      </c>
      <c r="E77" s="12" t="s">
        <v>975</v>
      </c>
      <c r="F77" s="12" t="s">
        <v>508</v>
      </c>
      <c r="G77" s="12" t="s">
        <v>334</v>
      </c>
      <c r="H77" s="12" t="s">
        <v>536</v>
      </c>
      <c r="I77" s="12" t="s">
        <v>976</v>
      </c>
      <c r="J77" s="12" t="s">
        <v>977</v>
      </c>
      <c r="K77" s="12" t="s">
        <v>380</v>
      </c>
      <c r="L77" s="12" t="s">
        <v>978</v>
      </c>
      <c r="M77" s="12" t="s">
        <v>532</v>
      </c>
      <c r="N77" s="12" t="s">
        <v>548</v>
      </c>
      <c r="O77" s="12" t="s">
        <v>516</v>
      </c>
    </row>
    <row r="78" customFormat="false" ht="23.85" hidden="false" customHeight="false" outlineLevel="0" collapsed="false">
      <c r="A78" s="11" t="s">
        <v>979</v>
      </c>
      <c r="B78" s="11" t="s">
        <v>437</v>
      </c>
      <c r="C78" s="11" t="s">
        <v>980</v>
      </c>
      <c r="D78" s="11" t="s">
        <v>440</v>
      </c>
      <c r="E78" s="11" t="s">
        <v>981</v>
      </c>
      <c r="F78" s="11" t="s">
        <v>508</v>
      </c>
      <c r="G78" s="11" t="s">
        <v>334</v>
      </c>
      <c r="H78" s="11" t="s">
        <v>552</v>
      </c>
      <c r="I78" s="11" t="s">
        <v>982</v>
      </c>
      <c r="J78" s="11" t="s">
        <v>983</v>
      </c>
      <c r="K78" s="11" t="s">
        <v>380</v>
      </c>
      <c r="L78" s="11" t="s">
        <v>984</v>
      </c>
      <c r="M78" s="11" t="s">
        <v>532</v>
      </c>
      <c r="N78" s="11" t="s">
        <v>548</v>
      </c>
      <c r="O78" s="11" t="s">
        <v>516</v>
      </c>
    </row>
    <row r="79" customFormat="false" ht="15" hidden="false" customHeight="false" outlineLevel="0" collapsed="false">
      <c r="A79" s="12" t="s">
        <v>985</v>
      </c>
      <c r="B79" s="12" t="s">
        <v>437</v>
      </c>
      <c r="C79" s="12" t="s">
        <v>986</v>
      </c>
      <c r="D79" s="12" t="s">
        <v>436</v>
      </c>
      <c r="E79" s="12" t="s">
        <v>987</v>
      </c>
      <c r="F79" s="12" t="s">
        <v>508</v>
      </c>
      <c r="G79" s="12" t="s">
        <v>325</v>
      </c>
      <c r="H79" s="12" t="s">
        <v>536</v>
      </c>
      <c r="I79" s="12" t="s">
        <v>988</v>
      </c>
      <c r="J79" s="12" t="s">
        <v>989</v>
      </c>
      <c r="K79" s="12" t="s">
        <v>380</v>
      </c>
      <c r="L79" s="12" t="s">
        <v>990</v>
      </c>
      <c r="M79" s="12" t="s">
        <v>524</v>
      </c>
      <c r="N79" s="12" t="s">
        <v>548</v>
      </c>
      <c r="O79" s="12" t="s">
        <v>516</v>
      </c>
    </row>
    <row r="80" customFormat="false" ht="15" hidden="false" customHeight="false" outlineLevel="0" collapsed="false">
      <c r="A80" s="11" t="s">
        <v>991</v>
      </c>
      <c r="B80" s="11" t="s">
        <v>453</v>
      </c>
      <c r="C80" s="11" t="s">
        <v>992</v>
      </c>
      <c r="D80" s="11" t="s">
        <v>452</v>
      </c>
      <c r="E80" s="11" t="s">
        <v>993</v>
      </c>
      <c r="F80" s="11" t="s">
        <v>508</v>
      </c>
      <c r="G80" s="11" t="s">
        <v>325</v>
      </c>
      <c r="H80" s="11" t="s">
        <v>509</v>
      </c>
      <c r="I80" s="11" t="s">
        <v>994</v>
      </c>
      <c r="J80" s="11" t="s">
        <v>995</v>
      </c>
      <c r="K80" s="11" t="s">
        <v>380</v>
      </c>
      <c r="L80" s="11" t="s">
        <v>996</v>
      </c>
      <c r="M80" s="11" t="s">
        <v>524</v>
      </c>
      <c r="N80" s="11" t="s">
        <v>515</v>
      </c>
      <c r="O80" s="11" t="s">
        <v>516</v>
      </c>
    </row>
    <row r="81" customFormat="false" ht="15" hidden="false" customHeight="false" outlineLevel="0" collapsed="false">
      <c r="A81" s="12" t="s">
        <v>997</v>
      </c>
      <c r="B81" s="12" t="s">
        <v>453</v>
      </c>
      <c r="C81" s="12" t="s">
        <v>998</v>
      </c>
      <c r="D81" s="12" t="s">
        <v>452</v>
      </c>
      <c r="E81" s="12" t="s">
        <v>999</v>
      </c>
      <c r="F81" s="12" t="s">
        <v>508</v>
      </c>
      <c r="G81" s="12" t="s">
        <v>325</v>
      </c>
      <c r="H81" s="12" t="s">
        <v>509</v>
      </c>
      <c r="I81" s="12" t="s">
        <v>1000</v>
      </c>
      <c r="J81" s="12" t="s">
        <v>1001</v>
      </c>
      <c r="K81" s="12" t="s">
        <v>1002</v>
      </c>
      <c r="L81" s="12" t="s">
        <v>1003</v>
      </c>
      <c r="M81" s="12" t="s">
        <v>532</v>
      </c>
      <c r="N81" s="12" t="s">
        <v>548</v>
      </c>
      <c r="O81" s="12" t="s">
        <v>516</v>
      </c>
    </row>
    <row r="82" customFormat="false" ht="15" hidden="false" customHeight="false" outlineLevel="0" collapsed="false">
      <c r="A82" s="11" t="s">
        <v>1004</v>
      </c>
      <c r="B82" s="11" t="s">
        <v>453</v>
      </c>
      <c r="C82" s="11" t="s">
        <v>998</v>
      </c>
      <c r="D82" s="11" t="s">
        <v>452</v>
      </c>
      <c r="E82" s="11" t="s">
        <v>1005</v>
      </c>
      <c r="F82" s="11" t="s">
        <v>508</v>
      </c>
      <c r="G82" s="11" t="s">
        <v>329</v>
      </c>
      <c r="H82" s="11" t="s">
        <v>536</v>
      </c>
      <c r="I82" s="11" t="s">
        <v>1006</v>
      </c>
      <c r="J82" s="11" t="s">
        <v>1007</v>
      </c>
      <c r="K82" s="11" t="s">
        <v>380</v>
      </c>
      <c r="L82" s="11" t="s">
        <v>1008</v>
      </c>
      <c r="M82" s="11" t="s">
        <v>532</v>
      </c>
      <c r="N82" s="11" t="s">
        <v>515</v>
      </c>
      <c r="O82" s="11" t="s">
        <v>516</v>
      </c>
    </row>
    <row r="83" customFormat="false" ht="23.85" hidden="false" customHeight="false" outlineLevel="0" collapsed="false">
      <c r="A83" s="12" t="s">
        <v>1009</v>
      </c>
      <c r="B83" s="12" t="s">
        <v>453</v>
      </c>
      <c r="C83" s="12" t="s">
        <v>1010</v>
      </c>
      <c r="D83" s="12" t="s">
        <v>452</v>
      </c>
      <c r="E83" s="12" t="s">
        <v>1011</v>
      </c>
      <c r="F83" s="12" t="s">
        <v>508</v>
      </c>
      <c r="G83" s="12" t="s">
        <v>334</v>
      </c>
      <c r="H83" s="12" t="s">
        <v>536</v>
      </c>
      <c r="I83" s="12" t="s">
        <v>453</v>
      </c>
      <c r="J83" s="12" t="s">
        <v>1012</v>
      </c>
      <c r="K83" s="12" t="s">
        <v>1013</v>
      </c>
      <c r="L83" s="12" t="s">
        <v>1014</v>
      </c>
      <c r="M83" s="12" t="s">
        <v>532</v>
      </c>
      <c r="N83" s="12" t="s">
        <v>548</v>
      </c>
      <c r="O83" s="12" t="s">
        <v>516</v>
      </c>
    </row>
    <row r="84" customFormat="false" ht="15" hidden="false" customHeight="false" outlineLevel="0" collapsed="false">
      <c r="A84" s="11" t="s">
        <v>1015</v>
      </c>
      <c r="B84" s="11" t="s">
        <v>453</v>
      </c>
      <c r="C84" s="11" t="s">
        <v>458</v>
      </c>
      <c r="D84" s="11" t="s">
        <v>456</v>
      </c>
      <c r="E84" s="11" t="s">
        <v>1016</v>
      </c>
      <c r="F84" s="11" t="s">
        <v>508</v>
      </c>
      <c r="G84" s="11" t="s">
        <v>325</v>
      </c>
      <c r="H84" s="11" t="s">
        <v>536</v>
      </c>
      <c r="I84" s="11" t="s">
        <v>453</v>
      </c>
      <c r="J84" s="11" t="s">
        <v>1017</v>
      </c>
      <c r="K84" s="11" t="s">
        <v>380</v>
      </c>
      <c r="L84" s="11" t="s">
        <v>1018</v>
      </c>
      <c r="M84" s="11" t="s">
        <v>532</v>
      </c>
      <c r="N84" s="11" t="s">
        <v>548</v>
      </c>
      <c r="O84" s="11" t="s">
        <v>516</v>
      </c>
    </row>
    <row r="85" customFormat="false" ht="23.85" hidden="false" customHeight="false" outlineLevel="0" collapsed="false">
      <c r="A85" s="12" t="s">
        <v>1019</v>
      </c>
      <c r="B85" s="12" t="s">
        <v>453</v>
      </c>
      <c r="C85" s="12" t="s">
        <v>1020</v>
      </c>
      <c r="D85" s="12" t="s">
        <v>459</v>
      </c>
      <c r="E85" s="12" t="s">
        <v>1021</v>
      </c>
      <c r="F85" s="12" t="s">
        <v>508</v>
      </c>
      <c r="G85" s="12" t="s">
        <v>325</v>
      </c>
      <c r="H85" s="12" t="s">
        <v>536</v>
      </c>
      <c r="I85" s="12" t="s">
        <v>453</v>
      </c>
      <c r="J85" s="12" t="s">
        <v>1022</v>
      </c>
      <c r="K85" s="12" t="s">
        <v>1023</v>
      </c>
      <c r="L85" s="12" t="s">
        <v>1024</v>
      </c>
      <c r="M85" s="12" t="s">
        <v>532</v>
      </c>
      <c r="N85" s="12" t="s">
        <v>548</v>
      </c>
      <c r="O85" s="12" t="s">
        <v>516</v>
      </c>
    </row>
    <row r="86" customFormat="false" ht="23.85" hidden="false" customHeight="false" outlineLevel="0" collapsed="false">
      <c r="A86" s="11" t="s">
        <v>1025</v>
      </c>
      <c r="B86" s="11" t="s">
        <v>453</v>
      </c>
      <c r="C86" s="11" t="s">
        <v>1026</v>
      </c>
      <c r="D86" s="11" t="s">
        <v>459</v>
      </c>
      <c r="E86" s="11" t="s">
        <v>1027</v>
      </c>
      <c r="F86" s="11" t="s">
        <v>508</v>
      </c>
      <c r="G86" s="11" t="s">
        <v>334</v>
      </c>
      <c r="H86" s="11" t="s">
        <v>536</v>
      </c>
      <c r="I86" s="11" t="s">
        <v>1028</v>
      </c>
      <c r="J86" s="11" t="s">
        <v>1029</v>
      </c>
      <c r="K86" s="11" t="s">
        <v>1030</v>
      </c>
      <c r="L86" s="11" t="s">
        <v>1031</v>
      </c>
      <c r="M86" s="11" t="s">
        <v>532</v>
      </c>
      <c r="N86" s="11" t="s">
        <v>548</v>
      </c>
      <c r="O86" s="11" t="s">
        <v>516</v>
      </c>
    </row>
    <row r="87" customFormat="false" ht="23.85" hidden="false" customHeight="false" outlineLevel="0" collapsed="false">
      <c r="A87" s="12" t="s">
        <v>1032</v>
      </c>
      <c r="B87" s="12" t="s">
        <v>453</v>
      </c>
      <c r="C87" s="12" t="s">
        <v>464</v>
      </c>
      <c r="D87" s="12" t="s">
        <v>462</v>
      </c>
      <c r="E87" s="12" t="s">
        <v>1033</v>
      </c>
      <c r="F87" s="12" t="s">
        <v>508</v>
      </c>
      <c r="G87" s="12" t="s">
        <v>334</v>
      </c>
      <c r="H87" s="12" t="s">
        <v>536</v>
      </c>
      <c r="I87" s="12" t="s">
        <v>1034</v>
      </c>
      <c r="J87" s="12" t="s">
        <v>1035</v>
      </c>
      <c r="K87" s="12" t="s">
        <v>380</v>
      </c>
      <c r="L87" s="12" t="s">
        <v>1036</v>
      </c>
      <c r="M87" s="12" t="s">
        <v>532</v>
      </c>
      <c r="N87" s="12" t="s">
        <v>548</v>
      </c>
      <c r="O87" s="12" t="s">
        <v>516</v>
      </c>
    </row>
    <row r="88" customFormat="false" ht="15" hidden="false" customHeight="false" outlineLevel="0" collapsed="false">
      <c r="A88" s="11" t="s">
        <v>1037</v>
      </c>
      <c r="B88" s="11" t="s">
        <v>453</v>
      </c>
      <c r="C88" s="11" t="s">
        <v>1038</v>
      </c>
      <c r="D88" s="11" t="s">
        <v>462</v>
      </c>
      <c r="E88" s="11" t="s">
        <v>1039</v>
      </c>
      <c r="F88" s="11" t="s">
        <v>508</v>
      </c>
      <c r="G88" s="11" t="s">
        <v>329</v>
      </c>
      <c r="H88" s="11" t="s">
        <v>552</v>
      </c>
      <c r="I88" s="11" t="s">
        <v>1040</v>
      </c>
      <c r="J88" s="11" t="s">
        <v>1041</v>
      </c>
      <c r="K88" s="11" t="s">
        <v>380</v>
      </c>
      <c r="L88" s="11" t="s">
        <v>1042</v>
      </c>
      <c r="M88" s="11" t="s">
        <v>532</v>
      </c>
      <c r="N88" s="11" t="s">
        <v>548</v>
      </c>
      <c r="O88" s="11" t="s">
        <v>516</v>
      </c>
    </row>
    <row r="89" customFormat="false" ht="15" hidden="false" customHeight="false" outlineLevel="0" collapsed="false">
      <c r="A89" s="12" t="s">
        <v>1043</v>
      </c>
      <c r="B89" s="12" t="s">
        <v>453</v>
      </c>
      <c r="C89" s="12" t="s">
        <v>1044</v>
      </c>
      <c r="D89" s="12" t="s">
        <v>481</v>
      </c>
      <c r="E89" s="12" t="s">
        <v>1045</v>
      </c>
      <c r="F89" s="12" t="s">
        <v>256</v>
      </c>
      <c r="G89" s="12" t="s">
        <v>329</v>
      </c>
      <c r="H89" s="12" t="s">
        <v>509</v>
      </c>
      <c r="I89" s="12" t="s">
        <v>1046</v>
      </c>
      <c r="J89" s="12" t="s">
        <v>1047</v>
      </c>
      <c r="K89" s="12" t="s">
        <v>380</v>
      </c>
      <c r="L89" s="12" t="s">
        <v>1048</v>
      </c>
      <c r="M89" s="12" t="s">
        <v>586</v>
      </c>
      <c r="N89" s="12" t="s">
        <v>515</v>
      </c>
      <c r="O89" s="12" t="s">
        <v>516</v>
      </c>
    </row>
    <row r="90" customFormat="false" ht="15" hidden="false" customHeight="false" outlineLevel="0" collapsed="false">
      <c r="A90" s="11" t="s">
        <v>1049</v>
      </c>
      <c r="B90" s="11" t="s">
        <v>466</v>
      </c>
      <c r="C90" s="11" t="s">
        <v>1050</v>
      </c>
      <c r="D90" s="11" t="s">
        <v>475</v>
      </c>
      <c r="E90" s="11" t="s">
        <v>1051</v>
      </c>
      <c r="F90" s="11" t="s">
        <v>508</v>
      </c>
      <c r="G90" s="11" t="s">
        <v>325</v>
      </c>
      <c r="H90" s="11" t="s">
        <v>536</v>
      </c>
      <c r="I90" s="11" t="s">
        <v>1052</v>
      </c>
      <c r="J90" s="11" t="s">
        <v>1053</v>
      </c>
      <c r="K90" s="11" t="s">
        <v>380</v>
      </c>
      <c r="L90" s="11" t="s">
        <v>1054</v>
      </c>
      <c r="M90" s="11" t="s">
        <v>524</v>
      </c>
      <c r="N90" s="11" t="s">
        <v>515</v>
      </c>
      <c r="O90" s="11" t="s">
        <v>516</v>
      </c>
    </row>
    <row r="91" customFormat="false" ht="23.85" hidden="false" customHeight="false" outlineLevel="0" collapsed="false">
      <c r="A91" s="12" t="s">
        <v>1055</v>
      </c>
      <c r="B91" s="12" t="s">
        <v>466</v>
      </c>
      <c r="C91" s="12" t="s">
        <v>1056</v>
      </c>
      <c r="D91" s="12" t="s">
        <v>465</v>
      </c>
      <c r="E91" s="12" t="s">
        <v>1057</v>
      </c>
      <c r="F91" s="12" t="s">
        <v>508</v>
      </c>
      <c r="G91" s="12" t="s">
        <v>325</v>
      </c>
      <c r="H91" s="12" t="s">
        <v>509</v>
      </c>
      <c r="I91" s="12" t="s">
        <v>1058</v>
      </c>
      <c r="J91" s="12" t="s">
        <v>1059</v>
      </c>
      <c r="K91" s="12" t="s">
        <v>380</v>
      </c>
      <c r="L91" s="12" t="s">
        <v>1060</v>
      </c>
      <c r="M91" s="12" t="s">
        <v>532</v>
      </c>
      <c r="N91" s="12" t="s">
        <v>548</v>
      </c>
      <c r="O91" s="12" t="s">
        <v>516</v>
      </c>
    </row>
    <row r="92" customFormat="false" ht="15" hidden="false" customHeight="false" outlineLevel="0" collapsed="false">
      <c r="A92" s="11" t="s">
        <v>1061</v>
      </c>
      <c r="B92" s="11" t="s">
        <v>466</v>
      </c>
      <c r="C92" s="11" t="s">
        <v>1062</v>
      </c>
      <c r="D92" s="11" t="s">
        <v>465</v>
      </c>
      <c r="E92" s="11" t="s">
        <v>1063</v>
      </c>
      <c r="F92" s="11" t="s">
        <v>508</v>
      </c>
      <c r="G92" s="11" t="s">
        <v>334</v>
      </c>
      <c r="H92" s="11" t="s">
        <v>552</v>
      </c>
      <c r="I92" s="11" t="s">
        <v>1064</v>
      </c>
      <c r="J92" s="11" t="s">
        <v>1065</v>
      </c>
      <c r="K92" s="11" t="s">
        <v>380</v>
      </c>
      <c r="L92" s="11" t="s">
        <v>1066</v>
      </c>
      <c r="M92" s="11" t="s">
        <v>532</v>
      </c>
      <c r="N92" s="11" t="s">
        <v>548</v>
      </c>
      <c r="O92" s="11" t="s">
        <v>516</v>
      </c>
    </row>
    <row r="93" customFormat="false" ht="15" hidden="false" customHeight="false" outlineLevel="0" collapsed="false">
      <c r="A93" s="12" t="s">
        <v>1067</v>
      </c>
      <c r="B93" s="12" t="s">
        <v>466</v>
      </c>
      <c r="C93" s="12" t="s">
        <v>1068</v>
      </c>
      <c r="D93" s="12" t="s">
        <v>469</v>
      </c>
      <c r="E93" s="12" t="s">
        <v>1069</v>
      </c>
      <c r="F93" s="12" t="s">
        <v>508</v>
      </c>
      <c r="G93" s="12" t="s">
        <v>325</v>
      </c>
      <c r="H93" s="12" t="s">
        <v>509</v>
      </c>
      <c r="I93" s="12" t="s">
        <v>1070</v>
      </c>
      <c r="J93" s="12" t="s">
        <v>1071</v>
      </c>
      <c r="K93" s="12" t="s">
        <v>1072</v>
      </c>
      <c r="L93" s="12" t="s">
        <v>1073</v>
      </c>
      <c r="M93" s="12" t="s">
        <v>524</v>
      </c>
      <c r="N93" s="12" t="s">
        <v>548</v>
      </c>
      <c r="O93" s="12" t="s">
        <v>516</v>
      </c>
    </row>
    <row r="94" customFormat="false" ht="23.85" hidden="false" customHeight="false" outlineLevel="0" collapsed="false">
      <c r="A94" s="11" t="s">
        <v>1074</v>
      </c>
      <c r="B94" s="11" t="s">
        <v>466</v>
      </c>
      <c r="C94" s="11" t="s">
        <v>1068</v>
      </c>
      <c r="D94" s="11" t="s">
        <v>469</v>
      </c>
      <c r="E94" s="11" t="s">
        <v>1075</v>
      </c>
      <c r="F94" s="11" t="s">
        <v>508</v>
      </c>
      <c r="G94" s="11" t="s">
        <v>329</v>
      </c>
      <c r="H94" s="11" t="s">
        <v>509</v>
      </c>
      <c r="I94" s="11" t="s">
        <v>1076</v>
      </c>
      <c r="J94" s="11" t="s">
        <v>1077</v>
      </c>
      <c r="K94" s="11" t="s">
        <v>1078</v>
      </c>
      <c r="L94" s="11" t="s">
        <v>1079</v>
      </c>
      <c r="M94" s="11" t="s">
        <v>532</v>
      </c>
      <c r="N94" s="11" t="s">
        <v>515</v>
      </c>
      <c r="O94" s="11" t="s">
        <v>516</v>
      </c>
    </row>
    <row r="95" customFormat="false" ht="15" hidden="false" customHeight="false" outlineLevel="0" collapsed="false">
      <c r="A95" s="12" t="s">
        <v>1080</v>
      </c>
      <c r="B95" s="12" t="s">
        <v>466</v>
      </c>
      <c r="C95" s="12" t="s">
        <v>1081</v>
      </c>
      <c r="D95" s="12" t="s">
        <v>465</v>
      </c>
      <c r="E95" s="12" t="s">
        <v>1082</v>
      </c>
      <c r="F95" s="12" t="s">
        <v>508</v>
      </c>
      <c r="G95" s="12" t="s">
        <v>325</v>
      </c>
      <c r="H95" s="12" t="s">
        <v>509</v>
      </c>
      <c r="I95" s="12" t="s">
        <v>1083</v>
      </c>
      <c r="J95" s="12" t="s">
        <v>1084</v>
      </c>
      <c r="K95" s="12" t="s">
        <v>380</v>
      </c>
      <c r="L95" s="12" t="s">
        <v>1085</v>
      </c>
      <c r="M95" s="12" t="s">
        <v>532</v>
      </c>
      <c r="N95" s="12" t="s">
        <v>548</v>
      </c>
      <c r="O95" s="12" t="s">
        <v>516</v>
      </c>
    </row>
    <row r="96" customFormat="false" ht="23.85" hidden="false" customHeight="false" outlineLevel="0" collapsed="false">
      <c r="A96" s="11" t="s">
        <v>1086</v>
      </c>
      <c r="B96" s="11" t="s">
        <v>466</v>
      </c>
      <c r="C96" s="11" t="s">
        <v>1087</v>
      </c>
      <c r="D96" s="11" t="s">
        <v>465</v>
      </c>
      <c r="E96" s="11" t="s">
        <v>1088</v>
      </c>
      <c r="F96" s="11" t="s">
        <v>508</v>
      </c>
      <c r="G96" s="11" t="s">
        <v>334</v>
      </c>
      <c r="H96" s="11" t="s">
        <v>536</v>
      </c>
      <c r="I96" s="11" t="s">
        <v>1089</v>
      </c>
      <c r="J96" s="11" t="s">
        <v>1090</v>
      </c>
      <c r="K96" s="11" t="s">
        <v>380</v>
      </c>
      <c r="L96" s="11" t="s">
        <v>1091</v>
      </c>
      <c r="M96" s="11" t="s">
        <v>532</v>
      </c>
      <c r="N96" s="11" t="s">
        <v>548</v>
      </c>
      <c r="O96" s="11" t="s">
        <v>516</v>
      </c>
    </row>
    <row r="97" customFormat="false" ht="23.85" hidden="false" customHeight="false" outlineLevel="0" collapsed="false">
      <c r="A97" s="12" t="s">
        <v>1092</v>
      </c>
      <c r="B97" s="12" t="s">
        <v>466</v>
      </c>
      <c r="C97" s="12" t="s">
        <v>1093</v>
      </c>
      <c r="D97" s="12" t="s">
        <v>472</v>
      </c>
      <c r="E97" s="12" t="s">
        <v>1094</v>
      </c>
      <c r="F97" s="12" t="s">
        <v>508</v>
      </c>
      <c r="G97" s="12" t="s">
        <v>329</v>
      </c>
      <c r="H97" s="12" t="s">
        <v>509</v>
      </c>
      <c r="I97" s="12" t="s">
        <v>380</v>
      </c>
      <c r="J97" s="12" t="s">
        <v>1095</v>
      </c>
      <c r="K97" s="12" t="s">
        <v>380</v>
      </c>
      <c r="L97" s="12" t="s">
        <v>1096</v>
      </c>
      <c r="M97" s="12" t="s">
        <v>532</v>
      </c>
      <c r="N97" s="12" t="s">
        <v>515</v>
      </c>
      <c r="O97" s="12" t="s">
        <v>516</v>
      </c>
    </row>
    <row r="98" customFormat="false" ht="15" hidden="false" customHeight="false" outlineLevel="0" collapsed="false">
      <c r="A98" s="11" t="s">
        <v>1097</v>
      </c>
      <c r="B98" s="11" t="s">
        <v>466</v>
      </c>
      <c r="C98" s="11" t="s">
        <v>428</v>
      </c>
      <c r="D98" s="11" t="s">
        <v>472</v>
      </c>
      <c r="E98" s="11" t="s">
        <v>1098</v>
      </c>
      <c r="F98" s="11" t="s">
        <v>508</v>
      </c>
      <c r="G98" s="11" t="s">
        <v>334</v>
      </c>
      <c r="H98" s="11" t="s">
        <v>536</v>
      </c>
      <c r="I98" s="11" t="s">
        <v>1099</v>
      </c>
      <c r="J98" s="11" t="s">
        <v>1100</v>
      </c>
      <c r="K98" s="11" t="s">
        <v>380</v>
      </c>
      <c r="L98" s="11" t="s">
        <v>1101</v>
      </c>
      <c r="M98" s="11" t="s">
        <v>532</v>
      </c>
      <c r="N98" s="11" t="s">
        <v>548</v>
      </c>
      <c r="O98" s="11" t="s">
        <v>516</v>
      </c>
    </row>
    <row r="99" customFormat="false" ht="23.85" hidden="false" customHeight="false" outlineLevel="0" collapsed="false">
      <c r="A99" s="12" t="s">
        <v>1102</v>
      </c>
      <c r="B99" s="12" t="s">
        <v>466</v>
      </c>
      <c r="C99" s="12" t="s">
        <v>1103</v>
      </c>
      <c r="D99" s="12" t="s">
        <v>472</v>
      </c>
      <c r="E99" s="12" t="s">
        <v>1104</v>
      </c>
      <c r="F99" s="12" t="s">
        <v>508</v>
      </c>
      <c r="G99" s="12" t="s">
        <v>325</v>
      </c>
      <c r="H99" s="12" t="s">
        <v>536</v>
      </c>
      <c r="I99" s="12" t="s">
        <v>380</v>
      </c>
      <c r="J99" s="12" t="s">
        <v>1105</v>
      </c>
      <c r="K99" s="12" t="s">
        <v>1106</v>
      </c>
      <c r="L99" s="12" t="s">
        <v>1107</v>
      </c>
      <c r="M99" s="12" t="s">
        <v>532</v>
      </c>
      <c r="N99" s="12" t="s">
        <v>548</v>
      </c>
      <c r="O99" s="12" t="s">
        <v>516</v>
      </c>
    </row>
    <row r="100" customFormat="false" ht="15" hidden="false" customHeight="false" outlineLevel="0" collapsed="false">
      <c r="A100" s="11" t="s">
        <v>1108</v>
      </c>
      <c r="B100" s="11" t="s">
        <v>466</v>
      </c>
      <c r="C100" s="11" t="s">
        <v>1109</v>
      </c>
      <c r="D100" s="11" t="s">
        <v>472</v>
      </c>
      <c r="E100" s="11" t="s">
        <v>1110</v>
      </c>
      <c r="F100" s="11" t="s">
        <v>508</v>
      </c>
      <c r="G100" s="11" t="s">
        <v>325</v>
      </c>
      <c r="H100" s="11" t="s">
        <v>536</v>
      </c>
      <c r="I100" s="11" t="s">
        <v>380</v>
      </c>
      <c r="J100" s="11" t="s">
        <v>1111</v>
      </c>
      <c r="K100" s="11" t="s">
        <v>1112</v>
      </c>
      <c r="L100" s="11" t="s">
        <v>1113</v>
      </c>
      <c r="M100" s="11" t="s">
        <v>532</v>
      </c>
      <c r="N100" s="11" t="s">
        <v>548</v>
      </c>
      <c r="O100" s="11" t="s">
        <v>516</v>
      </c>
    </row>
    <row r="101" customFormat="false" ht="23.85" hidden="false" customHeight="false" outlineLevel="0" collapsed="false">
      <c r="A101" s="12" t="s">
        <v>1114</v>
      </c>
      <c r="B101" s="12" t="s">
        <v>466</v>
      </c>
      <c r="C101" s="12" t="s">
        <v>980</v>
      </c>
      <c r="D101" s="12" t="s">
        <v>472</v>
      </c>
      <c r="E101" s="12" t="s">
        <v>1115</v>
      </c>
      <c r="F101" s="12" t="s">
        <v>508</v>
      </c>
      <c r="G101" s="12" t="s">
        <v>329</v>
      </c>
      <c r="H101" s="12" t="s">
        <v>536</v>
      </c>
      <c r="I101" s="12" t="s">
        <v>1116</v>
      </c>
      <c r="J101" s="12" t="s">
        <v>1117</v>
      </c>
      <c r="K101" s="12" t="s">
        <v>380</v>
      </c>
      <c r="L101" s="12" t="s">
        <v>1118</v>
      </c>
      <c r="M101" s="12" t="s">
        <v>532</v>
      </c>
      <c r="N101" s="12" t="s">
        <v>515</v>
      </c>
      <c r="O101" s="12" t="s">
        <v>516</v>
      </c>
    </row>
    <row r="102" customFormat="false" ht="15" hidden="false" customHeight="false" outlineLevel="0" collapsed="false">
      <c r="A102" s="11" t="s">
        <v>1119</v>
      </c>
      <c r="B102" s="11" t="s">
        <v>466</v>
      </c>
      <c r="C102" s="11" t="s">
        <v>822</v>
      </c>
      <c r="D102" s="11" t="s">
        <v>469</v>
      </c>
      <c r="E102" s="11" t="s">
        <v>1120</v>
      </c>
      <c r="F102" s="11" t="s">
        <v>508</v>
      </c>
      <c r="G102" s="11" t="s">
        <v>325</v>
      </c>
      <c r="H102" s="11" t="s">
        <v>509</v>
      </c>
      <c r="I102" s="11" t="s">
        <v>824</v>
      </c>
      <c r="J102" s="11" t="s">
        <v>1121</v>
      </c>
      <c r="K102" s="11" t="s">
        <v>380</v>
      </c>
      <c r="L102" s="11" t="s">
        <v>1122</v>
      </c>
      <c r="M102" s="11" t="s">
        <v>524</v>
      </c>
      <c r="N102" s="11" t="s">
        <v>548</v>
      </c>
      <c r="O102" s="11" t="s">
        <v>516</v>
      </c>
    </row>
    <row r="103" customFormat="false" ht="15" hidden="false" customHeight="false" outlineLevel="0" collapsed="false">
      <c r="A103" s="12" t="s">
        <v>1123</v>
      </c>
      <c r="B103" s="12" t="s">
        <v>466</v>
      </c>
      <c r="C103" s="12" t="s">
        <v>1124</v>
      </c>
      <c r="D103" s="12" t="s">
        <v>475</v>
      </c>
      <c r="E103" s="12" t="s">
        <v>1125</v>
      </c>
      <c r="F103" s="12" t="s">
        <v>508</v>
      </c>
      <c r="G103" s="12" t="s">
        <v>325</v>
      </c>
      <c r="H103" s="12" t="s">
        <v>552</v>
      </c>
      <c r="I103" s="12" t="s">
        <v>1126</v>
      </c>
      <c r="J103" s="12" t="s">
        <v>1127</v>
      </c>
      <c r="K103" s="12" t="s">
        <v>380</v>
      </c>
      <c r="L103" s="12" t="s">
        <v>1128</v>
      </c>
      <c r="M103" s="12" t="s">
        <v>532</v>
      </c>
      <c r="N103" s="12" t="s">
        <v>548</v>
      </c>
      <c r="O103" s="12" t="s">
        <v>516</v>
      </c>
    </row>
    <row r="104" customFormat="false" ht="15" hidden="false" customHeight="false" outlineLevel="0" collapsed="false">
      <c r="A104" s="11" t="s">
        <v>1129</v>
      </c>
      <c r="B104" s="11" t="s">
        <v>466</v>
      </c>
      <c r="C104" s="11" t="s">
        <v>1130</v>
      </c>
      <c r="D104" s="11" t="s">
        <v>475</v>
      </c>
      <c r="E104" s="11" t="s">
        <v>1131</v>
      </c>
      <c r="F104" s="11" t="s">
        <v>508</v>
      </c>
      <c r="G104" s="11" t="s">
        <v>334</v>
      </c>
      <c r="H104" s="11" t="s">
        <v>536</v>
      </c>
      <c r="I104" s="11" t="s">
        <v>1132</v>
      </c>
      <c r="J104" s="11" t="s">
        <v>1133</v>
      </c>
      <c r="K104" s="11" t="s">
        <v>380</v>
      </c>
      <c r="L104" s="11" t="s">
        <v>1134</v>
      </c>
      <c r="M104" s="11" t="s">
        <v>532</v>
      </c>
      <c r="N104" s="11" t="s">
        <v>548</v>
      </c>
      <c r="O104" s="11" t="s">
        <v>516</v>
      </c>
    </row>
    <row r="105" customFormat="false" ht="23.85" hidden="false" customHeight="false" outlineLevel="0" collapsed="false">
      <c r="A105" s="12" t="s">
        <v>1135</v>
      </c>
      <c r="B105" s="12" t="s">
        <v>466</v>
      </c>
      <c r="C105" s="12" t="s">
        <v>1136</v>
      </c>
      <c r="D105" s="12" t="s">
        <v>475</v>
      </c>
      <c r="E105" s="12" t="s">
        <v>1137</v>
      </c>
      <c r="F105" s="12" t="s">
        <v>508</v>
      </c>
      <c r="G105" s="12" t="s">
        <v>325</v>
      </c>
      <c r="H105" s="12" t="s">
        <v>552</v>
      </c>
      <c r="I105" s="12" t="s">
        <v>1138</v>
      </c>
      <c r="J105" s="12" t="s">
        <v>1139</v>
      </c>
      <c r="K105" s="12" t="s">
        <v>380</v>
      </c>
      <c r="L105" s="12" t="s">
        <v>1140</v>
      </c>
      <c r="M105" s="12" t="s">
        <v>532</v>
      </c>
      <c r="N105" s="12" t="s">
        <v>548</v>
      </c>
      <c r="O105" s="12" t="s">
        <v>516</v>
      </c>
    </row>
    <row r="106" customFormat="false" ht="23.85" hidden="false" customHeight="false" outlineLevel="0" collapsed="false">
      <c r="A106" s="11" t="s">
        <v>1141</v>
      </c>
      <c r="B106" s="11" t="s">
        <v>466</v>
      </c>
      <c r="C106" s="11" t="s">
        <v>1142</v>
      </c>
      <c r="D106" s="11" t="s">
        <v>475</v>
      </c>
      <c r="E106" s="11" t="s">
        <v>1143</v>
      </c>
      <c r="F106" s="11" t="s">
        <v>508</v>
      </c>
      <c r="G106" s="11" t="s">
        <v>329</v>
      </c>
      <c r="H106" s="11" t="s">
        <v>552</v>
      </c>
      <c r="I106" s="11" t="s">
        <v>1144</v>
      </c>
      <c r="J106" s="11" t="s">
        <v>1145</v>
      </c>
      <c r="K106" s="11" t="s">
        <v>380</v>
      </c>
      <c r="L106" s="11" t="s">
        <v>1146</v>
      </c>
      <c r="M106" s="11" t="s">
        <v>532</v>
      </c>
      <c r="N106" s="11" t="s">
        <v>515</v>
      </c>
      <c r="O106" s="11" t="s">
        <v>516</v>
      </c>
    </row>
    <row r="107" customFormat="false" ht="15" hidden="false" customHeight="false" outlineLevel="0" collapsed="false">
      <c r="A107" s="12" t="s">
        <v>1147</v>
      </c>
      <c r="B107" s="12" t="s">
        <v>466</v>
      </c>
      <c r="C107" s="12" t="s">
        <v>1148</v>
      </c>
      <c r="D107" s="12" t="s">
        <v>475</v>
      </c>
      <c r="E107" s="12" t="s">
        <v>1149</v>
      </c>
      <c r="F107" s="12" t="s">
        <v>508</v>
      </c>
      <c r="G107" s="12" t="s">
        <v>334</v>
      </c>
      <c r="H107" s="12" t="s">
        <v>536</v>
      </c>
      <c r="I107" s="12" t="s">
        <v>1150</v>
      </c>
      <c r="J107" s="12" t="s">
        <v>1151</v>
      </c>
      <c r="K107" s="12" t="s">
        <v>380</v>
      </c>
      <c r="L107" s="12" t="s">
        <v>1152</v>
      </c>
      <c r="M107" s="12" t="s">
        <v>532</v>
      </c>
      <c r="N107" s="12" t="s">
        <v>548</v>
      </c>
      <c r="O107" s="12" t="s">
        <v>516</v>
      </c>
    </row>
    <row r="108" customFormat="false" ht="15" hidden="false" customHeight="false" outlineLevel="0" collapsed="false">
      <c r="A108" s="11" t="s">
        <v>1153</v>
      </c>
      <c r="B108" s="11" t="s">
        <v>466</v>
      </c>
      <c r="C108" s="11" t="s">
        <v>1044</v>
      </c>
      <c r="D108" s="11" t="s">
        <v>481</v>
      </c>
      <c r="E108" s="11" t="s">
        <v>1154</v>
      </c>
      <c r="F108" s="11" t="s">
        <v>256</v>
      </c>
      <c r="G108" s="11" t="s">
        <v>329</v>
      </c>
      <c r="H108" s="11" t="s">
        <v>509</v>
      </c>
      <c r="I108" s="11" t="s">
        <v>1155</v>
      </c>
      <c r="J108" s="11" t="s">
        <v>1156</v>
      </c>
      <c r="K108" s="11" t="s">
        <v>380</v>
      </c>
      <c r="L108" s="11" t="s">
        <v>1157</v>
      </c>
      <c r="M108" s="11" t="s">
        <v>594</v>
      </c>
      <c r="N108" s="11" t="s">
        <v>515</v>
      </c>
      <c r="O108" s="11" t="s">
        <v>516</v>
      </c>
    </row>
    <row r="109" customFormat="false" ht="15" hidden="false" customHeight="false" outlineLevel="0" collapsed="false">
      <c r="A109" s="12" t="s">
        <v>1158</v>
      </c>
      <c r="B109" s="12" t="s">
        <v>189</v>
      </c>
      <c r="C109" s="12" t="s">
        <v>1159</v>
      </c>
      <c r="D109" s="12" t="s">
        <v>478</v>
      </c>
      <c r="E109" s="12" t="s">
        <v>1160</v>
      </c>
      <c r="F109" s="12" t="s">
        <v>508</v>
      </c>
      <c r="G109" s="12" t="s">
        <v>334</v>
      </c>
      <c r="H109" s="12" t="s">
        <v>509</v>
      </c>
      <c r="I109" s="12" t="s">
        <v>1161</v>
      </c>
      <c r="J109" s="12" t="s">
        <v>1162</v>
      </c>
      <c r="K109" s="12" t="s">
        <v>380</v>
      </c>
      <c r="L109" s="12" t="s">
        <v>1163</v>
      </c>
      <c r="M109" s="12" t="s">
        <v>532</v>
      </c>
      <c r="N109" s="12" t="s">
        <v>548</v>
      </c>
      <c r="O109" s="12" t="s">
        <v>516</v>
      </c>
    </row>
    <row r="110" customFormat="false" ht="15" hidden="false" customHeight="false" outlineLevel="0" collapsed="false">
      <c r="A110" s="11" t="s">
        <v>1164</v>
      </c>
      <c r="B110" s="11" t="s">
        <v>189</v>
      </c>
      <c r="C110" s="11" t="s">
        <v>1165</v>
      </c>
      <c r="D110" s="11" t="s">
        <v>478</v>
      </c>
      <c r="E110" s="11" t="s">
        <v>1166</v>
      </c>
      <c r="F110" s="11" t="s">
        <v>508</v>
      </c>
      <c r="G110" s="11" t="s">
        <v>325</v>
      </c>
      <c r="H110" s="11" t="s">
        <v>536</v>
      </c>
      <c r="I110" s="11" t="s">
        <v>847</v>
      </c>
      <c r="J110" s="11" t="s">
        <v>1167</v>
      </c>
      <c r="K110" s="11" t="s">
        <v>380</v>
      </c>
      <c r="L110" s="11" t="s">
        <v>1168</v>
      </c>
      <c r="M110" s="11" t="s">
        <v>532</v>
      </c>
      <c r="N110" s="11" t="s">
        <v>548</v>
      </c>
      <c r="O110" s="11" t="s">
        <v>516</v>
      </c>
    </row>
    <row r="111" customFormat="false" ht="15" hidden="false" customHeight="false" outlineLevel="0" collapsed="false">
      <c r="A111" s="12" t="s">
        <v>1169</v>
      </c>
      <c r="B111" s="12" t="s">
        <v>189</v>
      </c>
      <c r="C111" s="12" t="s">
        <v>1170</v>
      </c>
      <c r="D111" s="12" t="s">
        <v>478</v>
      </c>
      <c r="E111" s="12" t="s">
        <v>1171</v>
      </c>
      <c r="F111" s="12" t="s">
        <v>508</v>
      </c>
      <c r="G111" s="12" t="s">
        <v>334</v>
      </c>
      <c r="H111" s="12" t="s">
        <v>552</v>
      </c>
      <c r="I111" s="12" t="s">
        <v>1172</v>
      </c>
      <c r="J111" s="12" t="s">
        <v>1173</v>
      </c>
      <c r="K111" s="12" t="s">
        <v>380</v>
      </c>
      <c r="L111" s="12" t="s">
        <v>1174</v>
      </c>
      <c r="M111" s="12" t="s">
        <v>532</v>
      </c>
      <c r="N111" s="12" t="s">
        <v>548</v>
      </c>
      <c r="O111" s="12" t="s">
        <v>516</v>
      </c>
    </row>
    <row r="112" customFormat="false" ht="23.85" hidden="false" customHeight="false" outlineLevel="0" collapsed="false">
      <c r="A112" s="11" t="s">
        <v>1175</v>
      </c>
      <c r="B112" s="11" t="s">
        <v>256</v>
      </c>
      <c r="C112" s="11" t="s">
        <v>1176</v>
      </c>
      <c r="D112" s="11" t="s">
        <v>481</v>
      </c>
      <c r="E112" s="11" t="s">
        <v>1177</v>
      </c>
      <c r="F112" s="11" t="s">
        <v>256</v>
      </c>
      <c r="G112" s="11" t="s">
        <v>334</v>
      </c>
      <c r="H112" s="11" t="s">
        <v>509</v>
      </c>
      <c r="I112" s="11" t="s">
        <v>1178</v>
      </c>
      <c r="J112" s="11" t="s">
        <v>1179</v>
      </c>
      <c r="K112" s="11" t="s">
        <v>1180</v>
      </c>
      <c r="L112" s="11" t="s">
        <v>1181</v>
      </c>
      <c r="M112" s="11" t="s">
        <v>586</v>
      </c>
      <c r="N112" s="11" t="s">
        <v>515</v>
      </c>
      <c r="O112" s="11" t="s">
        <v>516</v>
      </c>
    </row>
    <row r="113" customFormat="false" ht="15" hidden="false" customHeight="false" outlineLevel="0" collapsed="false">
      <c r="A113" s="12" t="s">
        <v>1182</v>
      </c>
      <c r="B113" s="12" t="s">
        <v>256</v>
      </c>
      <c r="C113" s="12" t="s">
        <v>1183</v>
      </c>
      <c r="D113" s="12" t="s">
        <v>481</v>
      </c>
      <c r="E113" s="12" t="s">
        <v>1184</v>
      </c>
      <c r="F113" s="12" t="s">
        <v>256</v>
      </c>
      <c r="G113" s="12" t="s">
        <v>329</v>
      </c>
      <c r="H113" s="12" t="s">
        <v>509</v>
      </c>
      <c r="I113" s="12" t="s">
        <v>380</v>
      </c>
      <c r="J113" s="12" t="s">
        <v>1185</v>
      </c>
      <c r="K113" s="12" t="s">
        <v>1186</v>
      </c>
      <c r="L113" s="12" t="s">
        <v>1187</v>
      </c>
      <c r="M113" s="12" t="s">
        <v>256</v>
      </c>
      <c r="N113" s="12" t="s">
        <v>515</v>
      </c>
      <c r="O113" s="12" t="s">
        <v>516</v>
      </c>
    </row>
    <row r="114" customFormat="false" ht="15" hidden="false" customHeight="false" outlineLevel="0" collapsed="false">
      <c r="A114" s="11" t="s">
        <v>1188</v>
      </c>
      <c r="B114" s="11" t="s">
        <v>256</v>
      </c>
      <c r="C114" s="11" t="s">
        <v>1189</v>
      </c>
      <c r="D114" s="11" t="s">
        <v>481</v>
      </c>
      <c r="E114" s="11" t="s">
        <v>1190</v>
      </c>
      <c r="F114" s="11" t="s">
        <v>256</v>
      </c>
      <c r="G114" s="11" t="s">
        <v>325</v>
      </c>
      <c r="H114" s="11" t="s">
        <v>509</v>
      </c>
      <c r="I114" s="11" t="s">
        <v>1191</v>
      </c>
      <c r="J114" s="11" t="s">
        <v>1192</v>
      </c>
      <c r="K114" s="11" t="s">
        <v>1193</v>
      </c>
      <c r="L114" s="11" t="s">
        <v>1194</v>
      </c>
      <c r="M114" s="11" t="s">
        <v>256</v>
      </c>
      <c r="N114" s="11" t="s">
        <v>515</v>
      </c>
      <c r="O114" s="11" t="s">
        <v>516</v>
      </c>
    </row>
    <row r="115" customFormat="false" ht="15" hidden="false" customHeight="false" outlineLevel="0" collapsed="false">
      <c r="A115" s="12" t="s">
        <v>1195</v>
      </c>
      <c r="B115" s="12" t="s">
        <v>256</v>
      </c>
      <c r="C115" s="12" t="s">
        <v>1196</v>
      </c>
      <c r="D115" s="12" t="s">
        <v>481</v>
      </c>
      <c r="E115" s="12" t="s">
        <v>1197</v>
      </c>
      <c r="F115" s="12" t="s">
        <v>256</v>
      </c>
      <c r="G115" s="12" t="s">
        <v>334</v>
      </c>
      <c r="H115" s="12" t="s">
        <v>536</v>
      </c>
      <c r="I115" s="12" t="s">
        <v>380</v>
      </c>
      <c r="J115" s="12" t="s">
        <v>1198</v>
      </c>
      <c r="K115" s="12" t="s">
        <v>1199</v>
      </c>
      <c r="L115" s="12" t="s">
        <v>1200</v>
      </c>
      <c r="M115" s="12" t="s">
        <v>256</v>
      </c>
      <c r="N115" s="12" t="s">
        <v>515</v>
      </c>
      <c r="O115" s="12" t="s">
        <v>516</v>
      </c>
    </row>
    <row r="116" customFormat="false" ht="23.85" hidden="false" customHeight="false" outlineLevel="0" collapsed="false">
      <c r="A116" s="11" t="s">
        <v>1201</v>
      </c>
      <c r="B116" s="11" t="s">
        <v>256</v>
      </c>
      <c r="C116" s="11" t="s">
        <v>1202</v>
      </c>
      <c r="D116" s="11" t="s">
        <v>481</v>
      </c>
      <c r="E116" s="11" t="s">
        <v>1203</v>
      </c>
      <c r="F116" s="11" t="s">
        <v>256</v>
      </c>
      <c r="G116" s="11" t="s">
        <v>329</v>
      </c>
      <c r="H116" s="11" t="s">
        <v>509</v>
      </c>
      <c r="I116" s="11" t="s">
        <v>380</v>
      </c>
      <c r="J116" s="11" t="s">
        <v>1204</v>
      </c>
      <c r="K116" s="11" t="s">
        <v>380</v>
      </c>
      <c r="L116" s="11" t="s">
        <v>1205</v>
      </c>
      <c r="M116" s="11" t="s">
        <v>256</v>
      </c>
      <c r="N116" s="11" t="s">
        <v>548</v>
      </c>
      <c r="O116" s="11" t="s">
        <v>516</v>
      </c>
    </row>
    <row r="117" customFormat="false" ht="15" hidden="false" customHeight="false" outlineLevel="0" collapsed="false">
      <c r="A117" s="12" t="s">
        <v>1206</v>
      </c>
      <c r="B117" s="12" t="s">
        <v>256</v>
      </c>
      <c r="C117" s="12" t="s">
        <v>1207</v>
      </c>
      <c r="D117" s="12" t="s">
        <v>481</v>
      </c>
      <c r="E117" s="12" t="s">
        <v>1208</v>
      </c>
      <c r="F117" s="12" t="s">
        <v>256</v>
      </c>
      <c r="G117" s="12" t="s">
        <v>325</v>
      </c>
      <c r="H117" s="12" t="s">
        <v>536</v>
      </c>
      <c r="I117" s="12" t="s">
        <v>380</v>
      </c>
      <c r="J117" s="12" t="s">
        <v>1209</v>
      </c>
      <c r="K117" s="12" t="s">
        <v>380</v>
      </c>
      <c r="L117" s="12" t="s">
        <v>1210</v>
      </c>
      <c r="M117" s="12" t="s">
        <v>256</v>
      </c>
      <c r="N117" s="12" t="s">
        <v>515</v>
      </c>
      <c r="O117" s="12" t="s">
        <v>516</v>
      </c>
    </row>
    <row r="118" customFormat="false" ht="15" hidden="false" customHeight="false" outlineLevel="0" collapsed="false">
      <c r="A118" s="11" t="s">
        <v>1211</v>
      </c>
      <c r="B118" s="11" t="s">
        <v>256</v>
      </c>
      <c r="C118" s="11" t="s">
        <v>1212</v>
      </c>
      <c r="D118" s="11" t="s">
        <v>481</v>
      </c>
      <c r="E118" s="11" t="s">
        <v>1213</v>
      </c>
      <c r="F118" s="11" t="s">
        <v>256</v>
      </c>
      <c r="G118" s="11" t="s">
        <v>334</v>
      </c>
      <c r="H118" s="11" t="s">
        <v>536</v>
      </c>
      <c r="I118" s="11" t="s">
        <v>1214</v>
      </c>
      <c r="J118" s="11" t="s">
        <v>1215</v>
      </c>
      <c r="K118" s="11" t="s">
        <v>1216</v>
      </c>
      <c r="L118" s="11" t="s">
        <v>1217</v>
      </c>
      <c r="M118" s="11" t="s">
        <v>256</v>
      </c>
      <c r="N118" s="11" t="s">
        <v>515</v>
      </c>
      <c r="O118" s="11" t="s">
        <v>516</v>
      </c>
    </row>
    <row r="119" customFormat="false" ht="15" hidden="false" customHeight="false" outlineLevel="0" collapsed="false">
      <c r="A119" s="12" t="s">
        <v>1218</v>
      </c>
      <c r="B119" s="12" t="s">
        <v>256</v>
      </c>
      <c r="C119" s="12" t="s">
        <v>1219</v>
      </c>
      <c r="D119" s="12" t="s">
        <v>481</v>
      </c>
      <c r="E119" s="12" t="s">
        <v>1220</v>
      </c>
      <c r="F119" s="12" t="s">
        <v>256</v>
      </c>
      <c r="G119" s="12" t="s">
        <v>325</v>
      </c>
      <c r="H119" s="12" t="s">
        <v>509</v>
      </c>
      <c r="I119" s="12" t="s">
        <v>380</v>
      </c>
      <c r="J119" s="12" t="s">
        <v>1221</v>
      </c>
      <c r="K119" s="12" t="s">
        <v>380</v>
      </c>
      <c r="L119" s="12" t="s">
        <v>1222</v>
      </c>
      <c r="M119" s="12" t="s">
        <v>594</v>
      </c>
      <c r="N119" s="12" t="s">
        <v>515</v>
      </c>
      <c r="O119" s="12" t="s">
        <v>516</v>
      </c>
    </row>
    <row r="120" customFormat="false" ht="15" hidden="false" customHeight="false" outlineLevel="0" collapsed="false">
      <c r="A120" s="11" t="s">
        <v>1223</v>
      </c>
      <c r="B120" s="11" t="s">
        <v>256</v>
      </c>
      <c r="C120" s="11" t="s">
        <v>1224</v>
      </c>
      <c r="D120" s="11" t="s">
        <v>481</v>
      </c>
      <c r="E120" s="11" t="s">
        <v>1225</v>
      </c>
      <c r="F120" s="11" t="s">
        <v>256</v>
      </c>
      <c r="G120" s="11" t="s">
        <v>329</v>
      </c>
      <c r="H120" s="11" t="s">
        <v>509</v>
      </c>
      <c r="I120" s="11" t="s">
        <v>380</v>
      </c>
      <c r="J120" s="11" t="s">
        <v>1226</v>
      </c>
      <c r="K120" s="11" t="s">
        <v>1227</v>
      </c>
      <c r="L120" s="11" t="s">
        <v>1228</v>
      </c>
      <c r="M120" s="11" t="s">
        <v>586</v>
      </c>
      <c r="N120" s="11" t="s">
        <v>515</v>
      </c>
      <c r="O120" s="11" t="s">
        <v>516</v>
      </c>
    </row>
    <row r="121" customFormat="false" ht="15" hidden="false" customHeight="false" outlineLevel="0" collapsed="false">
      <c r="A121" s="12" t="s">
        <v>1229</v>
      </c>
      <c r="B121" s="12" t="s">
        <v>256</v>
      </c>
      <c r="C121" s="12" t="s">
        <v>804</v>
      </c>
      <c r="D121" s="12" t="s">
        <v>481</v>
      </c>
      <c r="E121" s="12" t="s">
        <v>1230</v>
      </c>
      <c r="F121" s="12" t="s">
        <v>256</v>
      </c>
      <c r="G121" s="12" t="s">
        <v>329</v>
      </c>
      <c r="H121" s="12" t="s">
        <v>509</v>
      </c>
      <c r="I121" s="12" t="s">
        <v>380</v>
      </c>
      <c r="J121" s="12" t="s">
        <v>1231</v>
      </c>
      <c r="K121" s="12" t="s">
        <v>1232</v>
      </c>
      <c r="L121" s="12" t="s">
        <v>1233</v>
      </c>
      <c r="M121" s="12" t="s">
        <v>256</v>
      </c>
      <c r="N121" s="12" t="s">
        <v>515</v>
      </c>
      <c r="O121" s="12" t="s">
        <v>516</v>
      </c>
    </row>
    <row r="122" customFormat="false" ht="23.85" hidden="false" customHeight="false" outlineLevel="0" collapsed="false">
      <c r="A122" s="11" t="s">
        <v>1234</v>
      </c>
      <c r="B122" s="11" t="s">
        <v>39</v>
      </c>
      <c r="C122" s="11" t="s">
        <v>1235</v>
      </c>
      <c r="D122" s="11" t="s">
        <v>483</v>
      </c>
      <c r="E122" s="11" t="s">
        <v>1236</v>
      </c>
      <c r="F122" s="11" t="s">
        <v>39</v>
      </c>
      <c r="G122" s="11" t="s">
        <v>329</v>
      </c>
      <c r="H122" s="11" t="s">
        <v>509</v>
      </c>
      <c r="I122" s="11" t="s">
        <v>1237</v>
      </c>
      <c r="J122" s="11" t="s">
        <v>1238</v>
      </c>
      <c r="K122" s="11" t="s">
        <v>380</v>
      </c>
      <c r="L122" s="11" t="s">
        <v>1239</v>
      </c>
      <c r="M122" s="11" t="s">
        <v>532</v>
      </c>
      <c r="N122" s="11" t="s">
        <v>515</v>
      </c>
      <c r="O122" s="11" t="s">
        <v>516</v>
      </c>
    </row>
    <row r="123" customFormat="false" ht="23.85" hidden="false" customHeight="false" outlineLevel="0" collapsed="false">
      <c r="A123" s="12" t="s">
        <v>1240</v>
      </c>
      <c r="B123" s="12" t="s">
        <v>39</v>
      </c>
      <c r="C123" s="12" t="s">
        <v>1241</v>
      </c>
      <c r="D123" s="12" t="s">
        <v>483</v>
      </c>
      <c r="E123" s="12" t="s">
        <v>1242</v>
      </c>
      <c r="F123" s="12" t="s">
        <v>39</v>
      </c>
      <c r="G123" s="12" t="s">
        <v>329</v>
      </c>
      <c r="H123" s="12" t="s">
        <v>509</v>
      </c>
      <c r="I123" s="12" t="s">
        <v>380</v>
      </c>
      <c r="J123" s="12" t="s">
        <v>1243</v>
      </c>
      <c r="K123" s="12" t="s">
        <v>1244</v>
      </c>
      <c r="L123" s="12" t="s">
        <v>1245</v>
      </c>
      <c r="M123" s="12" t="s">
        <v>532</v>
      </c>
      <c r="N123" s="12" t="s">
        <v>515</v>
      </c>
      <c r="O123" s="12" t="s">
        <v>516</v>
      </c>
    </row>
    <row r="124" customFormat="false" ht="23.85" hidden="false" customHeight="false" outlineLevel="0" collapsed="false">
      <c r="A124" s="11" t="s">
        <v>1246</v>
      </c>
      <c r="B124" s="11" t="s">
        <v>39</v>
      </c>
      <c r="C124" s="11" t="s">
        <v>1247</v>
      </c>
      <c r="D124" s="11" t="s">
        <v>483</v>
      </c>
      <c r="E124" s="11" t="s">
        <v>1248</v>
      </c>
      <c r="F124" s="11" t="s">
        <v>39</v>
      </c>
      <c r="G124" s="11" t="s">
        <v>329</v>
      </c>
      <c r="H124" s="11" t="s">
        <v>536</v>
      </c>
      <c r="I124" s="11" t="s">
        <v>380</v>
      </c>
      <c r="J124" s="11" t="s">
        <v>1249</v>
      </c>
      <c r="K124" s="11" t="s">
        <v>380</v>
      </c>
      <c r="L124" s="11" t="s">
        <v>1250</v>
      </c>
      <c r="M124" s="11" t="s">
        <v>532</v>
      </c>
      <c r="N124" s="11" t="s">
        <v>515</v>
      </c>
      <c r="O124" s="11" t="s">
        <v>516</v>
      </c>
    </row>
    <row r="125" customFormat="false" ht="15" hidden="false" customHeight="false" outlineLevel="0" collapsed="false">
      <c r="A125" s="12" t="s">
        <v>1251</v>
      </c>
      <c r="B125" s="12" t="s">
        <v>39</v>
      </c>
      <c r="C125" s="12" t="s">
        <v>1252</v>
      </c>
      <c r="D125" s="12" t="s">
        <v>483</v>
      </c>
      <c r="E125" s="12" t="s">
        <v>1253</v>
      </c>
      <c r="F125" s="12" t="s">
        <v>39</v>
      </c>
      <c r="G125" s="12" t="s">
        <v>329</v>
      </c>
      <c r="H125" s="12" t="s">
        <v>509</v>
      </c>
      <c r="I125" s="12" t="s">
        <v>380</v>
      </c>
      <c r="J125" s="12" t="s">
        <v>1254</v>
      </c>
      <c r="K125" s="12" t="s">
        <v>380</v>
      </c>
      <c r="L125" s="12" t="s">
        <v>1255</v>
      </c>
      <c r="M125" s="12" t="s">
        <v>532</v>
      </c>
      <c r="N125" s="12" t="s">
        <v>515</v>
      </c>
      <c r="O125" s="12" t="s">
        <v>516</v>
      </c>
    </row>
    <row r="126" customFormat="false" ht="15" hidden="false" customHeight="false" outlineLevel="0" collapsed="false">
      <c r="A126" s="11" t="s">
        <v>1256</v>
      </c>
      <c r="B126" s="11" t="s">
        <v>39</v>
      </c>
      <c r="C126" s="11" t="s">
        <v>1257</v>
      </c>
      <c r="D126" s="11" t="s">
        <v>483</v>
      </c>
      <c r="E126" s="11" t="s">
        <v>1258</v>
      </c>
      <c r="F126" s="11" t="s">
        <v>39</v>
      </c>
      <c r="G126" s="11" t="s">
        <v>329</v>
      </c>
      <c r="H126" s="11" t="s">
        <v>509</v>
      </c>
      <c r="I126" s="11" t="s">
        <v>380</v>
      </c>
      <c r="J126" s="11" t="s">
        <v>1259</v>
      </c>
      <c r="K126" s="11" t="s">
        <v>380</v>
      </c>
      <c r="L126" s="11" t="s">
        <v>1260</v>
      </c>
      <c r="M126" s="11" t="s">
        <v>532</v>
      </c>
      <c r="N126" s="11" t="s">
        <v>515</v>
      </c>
      <c r="O126" s="11" t="s">
        <v>516</v>
      </c>
    </row>
    <row r="127" customFormat="false" ht="23.85" hidden="false" customHeight="false" outlineLevel="0" collapsed="false">
      <c r="A127" s="12" t="s">
        <v>1261</v>
      </c>
      <c r="B127" s="12" t="s">
        <v>39</v>
      </c>
      <c r="C127" s="12" t="s">
        <v>1262</v>
      </c>
      <c r="D127" s="12" t="s">
        <v>483</v>
      </c>
      <c r="E127" s="12" t="s">
        <v>1263</v>
      </c>
      <c r="F127" s="12" t="s">
        <v>39</v>
      </c>
      <c r="G127" s="12" t="s">
        <v>334</v>
      </c>
      <c r="H127" s="12" t="s">
        <v>509</v>
      </c>
      <c r="I127" s="12" t="s">
        <v>1264</v>
      </c>
      <c r="J127" s="12" t="s">
        <v>1265</v>
      </c>
      <c r="K127" s="12" t="s">
        <v>380</v>
      </c>
      <c r="L127" s="12" t="s">
        <v>1266</v>
      </c>
      <c r="M127" s="12" t="s">
        <v>532</v>
      </c>
      <c r="N127" s="12" t="s">
        <v>515</v>
      </c>
      <c r="O127" s="12" t="s">
        <v>516</v>
      </c>
    </row>
    <row r="128" customFormat="false" ht="15" hidden="false" customHeight="false" outlineLevel="0" collapsed="false">
      <c r="A128" s="11" t="s">
        <v>1267</v>
      </c>
      <c r="B128" s="11" t="s">
        <v>39</v>
      </c>
      <c r="C128" s="11" t="s">
        <v>1268</v>
      </c>
      <c r="D128" s="11" t="s">
        <v>483</v>
      </c>
      <c r="E128" s="11" t="s">
        <v>1269</v>
      </c>
      <c r="F128" s="11" t="s">
        <v>39</v>
      </c>
      <c r="G128" s="11" t="s">
        <v>329</v>
      </c>
      <c r="H128" s="11" t="s">
        <v>509</v>
      </c>
      <c r="I128" s="11" t="s">
        <v>380</v>
      </c>
      <c r="J128" s="11" t="s">
        <v>1270</v>
      </c>
      <c r="K128" s="11" t="s">
        <v>380</v>
      </c>
      <c r="L128" s="11" t="s">
        <v>1271</v>
      </c>
      <c r="M128" s="11" t="s">
        <v>532</v>
      </c>
      <c r="N128" s="11" t="s">
        <v>515</v>
      </c>
      <c r="O128" s="11" t="s">
        <v>516</v>
      </c>
    </row>
    <row r="129" customFormat="false" ht="15" hidden="false" customHeight="false" outlineLevel="0" collapsed="false">
      <c r="A129" s="12" t="s">
        <v>1272</v>
      </c>
      <c r="B129" s="12" t="s">
        <v>39</v>
      </c>
      <c r="C129" s="12" t="s">
        <v>1273</v>
      </c>
      <c r="D129" s="12" t="s">
        <v>483</v>
      </c>
      <c r="E129" s="12" t="s">
        <v>1274</v>
      </c>
      <c r="F129" s="12" t="s">
        <v>39</v>
      </c>
      <c r="G129" s="12" t="s">
        <v>329</v>
      </c>
      <c r="H129" s="12" t="s">
        <v>509</v>
      </c>
      <c r="I129" s="12" t="s">
        <v>380</v>
      </c>
      <c r="J129" s="12" t="s">
        <v>1275</v>
      </c>
      <c r="K129" s="12" t="s">
        <v>380</v>
      </c>
      <c r="L129" s="12" t="s">
        <v>1276</v>
      </c>
      <c r="M129" s="12" t="s">
        <v>532</v>
      </c>
      <c r="N129" s="12" t="s">
        <v>515</v>
      </c>
      <c r="O129" s="12" t="s">
        <v>516</v>
      </c>
    </row>
    <row r="130" customFormat="false" ht="15" hidden="false" customHeight="false" outlineLevel="0" collapsed="false">
      <c r="A130" s="11" t="s">
        <v>1277</v>
      </c>
      <c r="B130" s="11" t="s">
        <v>489</v>
      </c>
      <c r="C130" s="11" t="s">
        <v>234</v>
      </c>
      <c r="D130" s="11" t="s">
        <v>486</v>
      </c>
      <c r="E130" s="11" t="s">
        <v>1278</v>
      </c>
      <c r="F130" s="11" t="s">
        <v>234</v>
      </c>
      <c r="G130" s="11" t="s">
        <v>325</v>
      </c>
      <c r="H130" s="11" t="s">
        <v>536</v>
      </c>
      <c r="I130" s="11" t="s">
        <v>1279</v>
      </c>
      <c r="J130" s="11" t="s">
        <v>1280</v>
      </c>
      <c r="K130" s="11" t="s">
        <v>1281</v>
      </c>
      <c r="L130" s="11" t="s">
        <v>1282</v>
      </c>
      <c r="M130" s="11" t="s">
        <v>234</v>
      </c>
      <c r="N130" s="11" t="s">
        <v>515</v>
      </c>
      <c r="O130" s="11" t="s">
        <v>516</v>
      </c>
    </row>
    <row r="131" customFormat="false" ht="23.85" hidden="false" customHeight="false" outlineLevel="0" collapsed="false">
      <c r="A131" s="12" t="s">
        <v>1283</v>
      </c>
      <c r="B131" s="12" t="s">
        <v>489</v>
      </c>
      <c r="C131" s="12" t="s">
        <v>1284</v>
      </c>
      <c r="D131" s="12" t="s">
        <v>486</v>
      </c>
      <c r="E131" s="12" t="s">
        <v>1285</v>
      </c>
      <c r="F131" s="12" t="s">
        <v>234</v>
      </c>
      <c r="G131" s="12" t="s">
        <v>334</v>
      </c>
      <c r="H131" s="12" t="s">
        <v>536</v>
      </c>
      <c r="I131" s="12" t="s">
        <v>1286</v>
      </c>
      <c r="J131" s="12" t="s">
        <v>1287</v>
      </c>
      <c r="K131" s="12" t="s">
        <v>1288</v>
      </c>
      <c r="L131" s="12" t="s">
        <v>1289</v>
      </c>
      <c r="M131" s="12" t="s">
        <v>234</v>
      </c>
      <c r="N131" s="12" t="s">
        <v>515</v>
      </c>
      <c r="O131" s="12" t="s">
        <v>516</v>
      </c>
    </row>
    <row r="132" customFormat="false" ht="15" hidden="false" customHeight="false" outlineLevel="0" collapsed="false">
      <c r="A132" s="11" t="s">
        <v>1290</v>
      </c>
      <c r="B132" s="11" t="s">
        <v>489</v>
      </c>
      <c r="C132" s="11" t="s">
        <v>51</v>
      </c>
      <c r="D132" s="11" t="s">
        <v>486</v>
      </c>
      <c r="E132" s="11" t="s">
        <v>1291</v>
      </c>
      <c r="F132" s="11" t="s">
        <v>234</v>
      </c>
      <c r="G132" s="11" t="s">
        <v>334</v>
      </c>
      <c r="H132" s="11" t="s">
        <v>536</v>
      </c>
      <c r="I132" s="11" t="s">
        <v>1292</v>
      </c>
      <c r="J132" s="11" t="s">
        <v>1293</v>
      </c>
      <c r="K132" s="11" t="s">
        <v>380</v>
      </c>
      <c r="L132" s="11" t="s">
        <v>1294</v>
      </c>
      <c r="M132" s="11" t="s">
        <v>532</v>
      </c>
      <c r="N132" s="11" t="s">
        <v>548</v>
      </c>
      <c r="O132" s="11" t="s">
        <v>516</v>
      </c>
    </row>
    <row r="133" customFormat="false" ht="15" hidden="false" customHeight="false" outlineLevel="0" collapsed="false">
      <c r="A133" s="12" t="s">
        <v>1295</v>
      </c>
      <c r="B133" s="12" t="s">
        <v>489</v>
      </c>
      <c r="C133" s="12" t="s">
        <v>1296</v>
      </c>
      <c r="D133" s="12" t="s">
        <v>486</v>
      </c>
      <c r="E133" s="12" t="s">
        <v>1297</v>
      </c>
      <c r="F133" s="12" t="s">
        <v>1296</v>
      </c>
      <c r="G133" s="12" t="s">
        <v>325</v>
      </c>
      <c r="H133" s="12" t="s">
        <v>536</v>
      </c>
      <c r="I133" s="12" t="s">
        <v>380</v>
      </c>
      <c r="J133" s="12" t="s">
        <v>1298</v>
      </c>
      <c r="K133" s="12" t="s">
        <v>380</v>
      </c>
      <c r="L133" s="12" t="s">
        <v>1299</v>
      </c>
      <c r="M133" s="12" t="s">
        <v>532</v>
      </c>
      <c r="N133" s="12" t="s">
        <v>548</v>
      </c>
      <c r="O133" s="12" t="s">
        <v>516</v>
      </c>
    </row>
    <row r="134" customFormat="false" ht="23.85" hidden="false" customHeight="false" outlineLevel="0" collapsed="false">
      <c r="A134" s="11" t="s">
        <v>1300</v>
      </c>
      <c r="B134" s="11" t="s">
        <v>489</v>
      </c>
      <c r="C134" s="11" t="s">
        <v>1301</v>
      </c>
      <c r="D134" s="11" t="s">
        <v>486</v>
      </c>
      <c r="E134" s="11" t="s">
        <v>1302</v>
      </c>
      <c r="F134" s="11" t="s">
        <v>1296</v>
      </c>
      <c r="G134" s="11" t="s">
        <v>325</v>
      </c>
      <c r="H134" s="11" t="s">
        <v>536</v>
      </c>
      <c r="I134" s="11" t="s">
        <v>380</v>
      </c>
      <c r="J134" s="11" t="s">
        <v>1303</v>
      </c>
      <c r="K134" s="11" t="s">
        <v>1304</v>
      </c>
      <c r="L134" s="11" t="s">
        <v>1305</v>
      </c>
      <c r="M134" s="11" t="s">
        <v>532</v>
      </c>
      <c r="N134" s="11" t="s">
        <v>515</v>
      </c>
      <c r="O134" s="11" t="s">
        <v>516</v>
      </c>
    </row>
    <row r="135" customFormat="false" ht="15" hidden="false" customHeight="false" outlineLevel="0" collapsed="false">
      <c r="A135" s="12" t="s">
        <v>1306</v>
      </c>
      <c r="B135" s="12" t="s">
        <v>489</v>
      </c>
      <c r="C135" s="12" t="s">
        <v>1307</v>
      </c>
      <c r="D135" s="12" t="s">
        <v>486</v>
      </c>
      <c r="E135" s="12" t="s">
        <v>1308</v>
      </c>
      <c r="F135" s="12" t="s">
        <v>1296</v>
      </c>
      <c r="G135" s="12" t="s">
        <v>325</v>
      </c>
      <c r="H135" s="12" t="s">
        <v>536</v>
      </c>
      <c r="I135" s="12" t="s">
        <v>1309</v>
      </c>
      <c r="J135" s="12" t="s">
        <v>1310</v>
      </c>
      <c r="K135" s="12" t="s">
        <v>380</v>
      </c>
      <c r="L135" s="12" t="s">
        <v>1311</v>
      </c>
      <c r="M135" s="12" t="s">
        <v>532</v>
      </c>
      <c r="N135" s="12" t="s">
        <v>548</v>
      </c>
      <c r="O135" s="12" t="s">
        <v>516</v>
      </c>
    </row>
    <row r="136" customFormat="false" ht="23.85" hidden="false" customHeight="false" outlineLevel="0" collapsed="false">
      <c r="A136" s="11" t="s">
        <v>1312</v>
      </c>
      <c r="B136" s="11" t="s">
        <v>489</v>
      </c>
      <c r="C136" s="11" t="s">
        <v>1313</v>
      </c>
      <c r="D136" s="11" t="s">
        <v>486</v>
      </c>
      <c r="E136" s="11" t="s">
        <v>1314</v>
      </c>
      <c r="F136" s="11" t="s">
        <v>508</v>
      </c>
      <c r="G136" s="11" t="s">
        <v>325</v>
      </c>
      <c r="H136" s="11" t="s">
        <v>552</v>
      </c>
      <c r="I136" s="11" t="s">
        <v>380</v>
      </c>
      <c r="J136" s="11" t="s">
        <v>1315</v>
      </c>
      <c r="K136" s="11" t="s">
        <v>380</v>
      </c>
      <c r="L136" s="11" t="s">
        <v>1316</v>
      </c>
      <c r="M136" s="11" t="s">
        <v>532</v>
      </c>
      <c r="N136" s="11" t="s">
        <v>548</v>
      </c>
      <c r="O136" s="11" t="s">
        <v>516</v>
      </c>
    </row>
    <row r="137" customFormat="false" ht="15" hidden="false" customHeight="false" outlineLevel="0" collapsed="false">
      <c r="A137" s="12" t="s">
        <v>1317</v>
      </c>
      <c r="B137" s="12" t="s">
        <v>489</v>
      </c>
      <c r="C137" s="12" t="s">
        <v>1318</v>
      </c>
      <c r="D137" s="12" t="s">
        <v>486</v>
      </c>
      <c r="E137" s="12" t="s">
        <v>1319</v>
      </c>
      <c r="F137" s="12" t="s">
        <v>1318</v>
      </c>
      <c r="G137" s="12" t="s">
        <v>325</v>
      </c>
      <c r="H137" s="12" t="s">
        <v>552</v>
      </c>
      <c r="I137" s="12" t="s">
        <v>409</v>
      </c>
      <c r="J137" s="12" t="s">
        <v>1320</v>
      </c>
      <c r="K137" s="12" t="s">
        <v>380</v>
      </c>
      <c r="L137" s="12" t="s">
        <v>1321</v>
      </c>
      <c r="M137" s="12" t="s">
        <v>532</v>
      </c>
      <c r="N137" s="12" t="s">
        <v>548</v>
      </c>
      <c r="O137" s="12" t="s">
        <v>516</v>
      </c>
    </row>
    <row r="138" customFormat="false" ht="23.85" hidden="false" customHeight="false" outlineLevel="0" collapsed="false">
      <c r="A138" s="11" t="s">
        <v>1322</v>
      </c>
      <c r="B138" s="11" t="s">
        <v>489</v>
      </c>
      <c r="C138" s="11" t="s">
        <v>1323</v>
      </c>
      <c r="D138" s="11" t="s">
        <v>486</v>
      </c>
      <c r="E138" s="11" t="s">
        <v>1324</v>
      </c>
      <c r="F138" s="11" t="s">
        <v>1325</v>
      </c>
      <c r="G138" s="11" t="s">
        <v>334</v>
      </c>
      <c r="H138" s="11" t="s">
        <v>509</v>
      </c>
      <c r="I138" s="11" t="s">
        <v>380</v>
      </c>
      <c r="J138" s="11" t="s">
        <v>1326</v>
      </c>
      <c r="K138" s="11" t="s">
        <v>380</v>
      </c>
      <c r="L138" s="11" t="s">
        <v>1327</v>
      </c>
      <c r="M138" s="11" t="s">
        <v>532</v>
      </c>
      <c r="N138" s="11" t="s">
        <v>515</v>
      </c>
      <c r="O138" s="11" t="s">
        <v>516</v>
      </c>
    </row>
    <row r="139" customFormat="false" ht="23.85" hidden="false" customHeight="false" outlineLevel="0" collapsed="false">
      <c r="A139" s="12" t="s">
        <v>1328</v>
      </c>
      <c r="B139" s="12" t="s">
        <v>489</v>
      </c>
      <c r="C139" s="12" t="s">
        <v>1329</v>
      </c>
      <c r="D139" s="12" t="s">
        <v>486</v>
      </c>
      <c r="E139" s="12" t="s">
        <v>1330</v>
      </c>
      <c r="F139" s="12" t="s">
        <v>508</v>
      </c>
      <c r="G139" s="12" t="s">
        <v>325</v>
      </c>
      <c r="H139" s="12" t="s">
        <v>552</v>
      </c>
      <c r="I139" s="12" t="s">
        <v>380</v>
      </c>
      <c r="J139" s="12" t="s">
        <v>1331</v>
      </c>
      <c r="K139" s="12" t="s">
        <v>380</v>
      </c>
      <c r="L139" s="12" t="s">
        <v>1332</v>
      </c>
      <c r="M139" s="12" t="s">
        <v>532</v>
      </c>
      <c r="N139" s="12" t="s">
        <v>515</v>
      </c>
      <c r="O139" s="12" t="s">
        <v>516</v>
      </c>
    </row>
    <row r="140" customFormat="false" ht="23.85" hidden="false" customHeight="false" outlineLevel="0" collapsed="false">
      <c r="A140" s="11" t="s">
        <v>1333</v>
      </c>
      <c r="B140" s="11" t="s">
        <v>489</v>
      </c>
      <c r="C140" s="11" t="s">
        <v>1334</v>
      </c>
      <c r="D140" s="11" t="s">
        <v>486</v>
      </c>
      <c r="E140" s="11" t="s">
        <v>1335</v>
      </c>
      <c r="F140" s="11" t="s">
        <v>247</v>
      </c>
      <c r="G140" s="11" t="s">
        <v>334</v>
      </c>
      <c r="H140" s="11" t="s">
        <v>536</v>
      </c>
      <c r="I140" s="11" t="s">
        <v>1336</v>
      </c>
      <c r="J140" s="11" t="s">
        <v>1337</v>
      </c>
      <c r="K140" s="11" t="s">
        <v>380</v>
      </c>
      <c r="L140" s="11" t="s">
        <v>1338</v>
      </c>
      <c r="M140" s="11" t="s">
        <v>532</v>
      </c>
      <c r="N140" s="11" t="s">
        <v>548</v>
      </c>
      <c r="O140" s="11" t="s">
        <v>516</v>
      </c>
    </row>
    <row r="141" customFormat="false" ht="23.85" hidden="false" customHeight="false" outlineLevel="0" collapsed="false">
      <c r="A141" s="12" t="s">
        <v>1339</v>
      </c>
      <c r="B141" s="12" t="s">
        <v>489</v>
      </c>
      <c r="C141" s="12" t="s">
        <v>1340</v>
      </c>
      <c r="D141" s="12" t="s">
        <v>486</v>
      </c>
      <c r="E141" s="12" t="s">
        <v>1341</v>
      </c>
      <c r="F141" s="12" t="s">
        <v>247</v>
      </c>
      <c r="G141" s="12" t="s">
        <v>334</v>
      </c>
      <c r="H141" s="12" t="s">
        <v>509</v>
      </c>
      <c r="I141" s="12" t="s">
        <v>1342</v>
      </c>
      <c r="J141" s="12" t="s">
        <v>1343</v>
      </c>
      <c r="K141" s="12" t="s">
        <v>380</v>
      </c>
      <c r="L141" s="12" t="s">
        <v>1344</v>
      </c>
      <c r="M141" s="12" t="s">
        <v>1345</v>
      </c>
      <c r="N141" s="12" t="s">
        <v>548</v>
      </c>
      <c r="O141" s="12" t="s">
        <v>516</v>
      </c>
    </row>
  </sheetData>
  <autoFilter ref="A1:O141"/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drawing r:id="rId1"/>
</worksheet>
</file>

<file path=xl/worksheets/sheet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E14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4" topLeftCell="A5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customHeight="false" zeroHeight="false" outlineLevelRow="0" outlineLevelCol="0"/>
  <cols>
    <col collapsed="false" customWidth="true" hidden="false" outlineLevel="0" max="1" min="1" style="0" width="16"/>
    <col collapsed="false" customWidth="true" hidden="false" outlineLevel="0" max="2" min="2" style="0" width="46"/>
    <col collapsed="false" customWidth="true" hidden="false" outlineLevel="0" max="3" min="3" style="0" width="34"/>
    <col collapsed="false" customWidth="true" hidden="false" outlineLevel="0" max="4" min="4" style="0" width="10"/>
    <col collapsed="false" customWidth="true" hidden="false" outlineLevel="0" max="5" min="5" style="0" width="18"/>
  </cols>
  <sheetData>
    <row r="1" customFormat="false" ht="30" hidden="false" customHeight="true" outlineLevel="0" collapsed="false">
      <c r="A1" s="8" t="s">
        <v>1346</v>
      </c>
      <c r="B1" s="8"/>
      <c r="C1" s="8"/>
      <c r="D1" s="8"/>
      <c r="E1" s="8"/>
    </row>
    <row r="2" customFormat="false" ht="18" hidden="false" customHeight="true" outlineLevel="0" collapsed="false">
      <c r="A2" s="9" t="s">
        <v>1347</v>
      </c>
      <c r="B2" s="9"/>
      <c r="C2" s="9"/>
      <c r="D2" s="9"/>
      <c r="E2" s="9"/>
    </row>
    <row r="4" customFormat="false" ht="27.75" hidden="false" customHeight="true" outlineLevel="0" collapsed="false">
      <c r="A4" s="10" t="s">
        <v>1348</v>
      </c>
      <c r="B4" s="10" t="s">
        <v>1349</v>
      </c>
      <c r="C4" s="10" t="s">
        <v>1350</v>
      </c>
      <c r="D4" s="10" t="s">
        <v>496</v>
      </c>
      <c r="E4" s="10" t="s">
        <v>1351</v>
      </c>
    </row>
    <row r="5" customFormat="false" ht="23.85" hidden="false" customHeight="false" outlineLevel="0" collapsed="false">
      <c r="A5" s="11" t="s">
        <v>43</v>
      </c>
      <c r="B5" s="11" t="s">
        <v>1352</v>
      </c>
      <c r="C5" s="11" t="s">
        <v>1353</v>
      </c>
      <c r="D5" s="11" t="s">
        <v>509</v>
      </c>
      <c r="E5" s="11" t="s">
        <v>1354</v>
      </c>
    </row>
    <row r="6" customFormat="false" ht="23.85" hidden="false" customHeight="false" outlineLevel="0" collapsed="false">
      <c r="A6" s="12" t="s">
        <v>407</v>
      </c>
      <c r="B6" s="12" t="s">
        <v>1355</v>
      </c>
      <c r="C6" s="12" t="s">
        <v>1356</v>
      </c>
      <c r="D6" s="12" t="s">
        <v>536</v>
      </c>
      <c r="E6" s="12" t="s">
        <v>1357</v>
      </c>
    </row>
    <row r="7" customFormat="false" ht="23.85" hidden="false" customHeight="false" outlineLevel="0" collapsed="false">
      <c r="A7" s="11" t="s">
        <v>662</v>
      </c>
      <c r="B7" s="11" t="s">
        <v>1358</v>
      </c>
      <c r="C7" s="11" t="s">
        <v>1359</v>
      </c>
      <c r="D7" s="11" t="s">
        <v>509</v>
      </c>
      <c r="E7" s="11" t="s">
        <v>1360</v>
      </c>
    </row>
    <row r="8" customFormat="false" ht="23.85" hidden="false" customHeight="false" outlineLevel="0" collapsed="false">
      <c r="A8" s="12" t="s">
        <v>418</v>
      </c>
      <c r="B8" s="12" t="s">
        <v>1361</v>
      </c>
      <c r="C8" s="12" t="s">
        <v>1362</v>
      </c>
      <c r="D8" s="12" t="s">
        <v>509</v>
      </c>
      <c r="E8" s="12" t="s">
        <v>1363</v>
      </c>
    </row>
    <row r="9" customFormat="false" ht="15" hidden="false" customHeight="false" outlineLevel="0" collapsed="false">
      <c r="A9" s="11" t="s">
        <v>55</v>
      </c>
      <c r="B9" s="11" t="s">
        <v>1364</v>
      </c>
      <c r="C9" s="11" t="s">
        <v>1365</v>
      </c>
      <c r="D9" s="11" t="s">
        <v>509</v>
      </c>
      <c r="E9" s="11" t="s">
        <v>1366</v>
      </c>
    </row>
    <row r="10" customFormat="false" ht="15" hidden="false" customHeight="false" outlineLevel="0" collapsed="false">
      <c r="A10" s="12" t="s">
        <v>1367</v>
      </c>
      <c r="B10" s="12" t="s">
        <v>1368</v>
      </c>
      <c r="C10" s="12" t="s">
        <v>1369</v>
      </c>
      <c r="D10" s="12" t="s">
        <v>509</v>
      </c>
      <c r="E10" s="12" t="s">
        <v>1370</v>
      </c>
    </row>
    <row r="11" customFormat="false" ht="23.85" hidden="false" customHeight="false" outlineLevel="0" collapsed="false">
      <c r="A11" s="11" t="s">
        <v>1371</v>
      </c>
      <c r="B11" s="11" t="s">
        <v>1372</v>
      </c>
      <c r="C11" s="11" t="s">
        <v>1373</v>
      </c>
      <c r="D11" s="11" t="s">
        <v>509</v>
      </c>
      <c r="E11" s="11" t="s">
        <v>1374</v>
      </c>
    </row>
    <row r="12" customFormat="false" ht="15" hidden="false" customHeight="false" outlineLevel="0" collapsed="false">
      <c r="A12" s="12" t="s">
        <v>453</v>
      </c>
      <c r="B12" s="12" t="s">
        <v>1375</v>
      </c>
      <c r="C12" s="12" t="s">
        <v>1376</v>
      </c>
      <c r="D12" s="12" t="s">
        <v>509</v>
      </c>
      <c r="E12" s="12" t="s">
        <v>1377</v>
      </c>
    </row>
    <row r="13" customFormat="false" ht="23.85" hidden="false" customHeight="false" outlineLevel="0" collapsed="false">
      <c r="A13" s="11" t="s">
        <v>1378</v>
      </c>
      <c r="B13" s="11" t="s">
        <v>1379</v>
      </c>
      <c r="C13" s="11" t="s">
        <v>1380</v>
      </c>
      <c r="D13" s="11" t="s">
        <v>509</v>
      </c>
      <c r="E13" s="11" t="s">
        <v>1381</v>
      </c>
    </row>
    <row r="14" customFormat="false" ht="15" hidden="false" customHeight="false" outlineLevel="0" collapsed="false">
      <c r="A14" s="12" t="s">
        <v>189</v>
      </c>
      <c r="B14" s="12" t="s">
        <v>1382</v>
      </c>
      <c r="C14" s="12" t="s">
        <v>1383</v>
      </c>
      <c r="D14" s="12" t="s">
        <v>536</v>
      </c>
      <c r="E14" s="12" t="s">
        <v>1384</v>
      </c>
    </row>
  </sheetData>
  <autoFilter ref="A4:E14"/>
  <mergeCells count="2">
    <mergeCell ref="A1:E1"/>
    <mergeCell ref="A2:E2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drawing r:id="rId1"/>
</worksheet>
</file>

<file path=xl/worksheets/sheet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F17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4" topLeftCell="A5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customHeight="false" zeroHeight="false" outlineLevelRow="0" outlineLevelCol="0"/>
  <cols>
    <col collapsed="false" customWidth="true" hidden="false" outlineLevel="0" max="1" min="1" style="0" width="10"/>
    <col collapsed="false" customWidth="true" hidden="false" outlineLevel="0" max="2" min="2" style="0" width="18"/>
    <col collapsed="false" customWidth="true" hidden="false" outlineLevel="0" max="3" min="3" style="0" width="52"/>
    <col collapsed="false" customWidth="true" hidden="false" outlineLevel="0" max="4" min="4" style="0" width="10"/>
    <col collapsed="false" customWidth="true" hidden="false" outlineLevel="0" max="5" min="5" style="0" width="28"/>
    <col collapsed="false" customWidth="true" hidden="false" outlineLevel="0" max="6" min="6" style="0" width="12"/>
  </cols>
  <sheetData>
    <row r="1" customFormat="false" ht="30" hidden="false" customHeight="true" outlineLevel="0" collapsed="false">
      <c r="A1" s="8" t="s">
        <v>1385</v>
      </c>
      <c r="B1" s="8"/>
      <c r="C1" s="8"/>
      <c r="D1" s="8"/>
      <c r="E1" s="8"/>
      <c r="F1" s="8"/>
    </row>
    <row r="2" customFormat="false" ht="18" hidden="false" customHeight="true" outlineLevel="0" collapsed="false">
      <c r="A2" s="9" t="s">
        <v>1386</v>
      </c>
      <c r="B2" s="9"/>
      <c r="C2" s="9"/>
      <c r="D2" s="9"/>
      <c r="E2" s="9"/>
      <c r="F2" s="9"/>
    </row>
    <row r="4" customFormat="false" ht="27.75" hidden="false" customHeight="true" outlineLevel="0" collapsed="false">
      <c r="A4" s="10" t="s">
        <v>1387</v>
      </c>
      <c r="B4" s="10" t="s">
        <v>1348</v>
      </c>
      <c r="C4" s="10" t="s">
        <v>1388</v>
      </c>
      <c r="D4" s="10" t="s">
        <v>496</v>
      </c>
      <c r="E4" s="10" t="s">
        <v>1389</v>
      </c>
      <c r="F4" s="10" t="s">
        <v>1390</v>
      </c>
    </row>
    <row r="5" customFormat="false" ht="15" hidden="false" customHeight="false" outlineLevel="0" collapsed="false">
      <c r="A5" s="11" t="s">
        <v>1391</v>
      </c>
      <c r="B5" s="11" t="s">
        <v>43</v>
      </c>
      <c r="C5" s="11" t="s">
        <v>1392</v>
      </c>
      <c r="D5" s="11" t="s">
        <v>509</v>
      </c>
      <c r="E5" s="11" t="s">
        <v>1393</v>
      </c>
      <c r="F5" s="11" t="s">
        <v>1394</v>
      </c>
    </row>
    <row r="6" customFormat="false" ht="23.85" hidden="false" customHeight="false" outlineLevel="0" collapsed="false">
      <c r="A6" s="12" t="s">
        <v>1395</v>
      </c>
      <c r="B6" s="12" t="s">
        <v>662</v>
      </c>
      <c r="C6" s="12" t="s">
        <v>1396</v>
      </c>
      <c r="D6" s="12" t="s">
        <v>509</v>
      </c>
      <c r="E6" s="12" t="s">
        <v>1397</v>
      </c>
      <c r="F6" s="12" t="s">
        <v>515</v>
      </c>
    </row>
    <row r="7" customFormat="false" ht="15" hidden="false" customHeight="false" outlineLevel="0" collapsed="false">
      <c r="A7" s="11" t="s">
        <v>1398</v>
      </c>
      <c r="B7" s="11" t="s">
        <v>418</v>
      </c>
      <c r="C7" s="11" t="s">
        <v>1399</v>
      </c>
      <c r="D7" s="11" t="s">
        <v>509</v>
      </c>
      <c r="E7" s="11" t="s">
        <v>1400</v>
      </c>
      <c r="F7" s="11" t="s">
        <v>1394</v>
      </c>
    </row>
    <row r="8" customFormat="false" ht="15" hidden="false" customHeight="false" outlineLevel="0" collapsed="false">
      <c r="A8" s="12" t="s">
        <v>1401</v>
      </c>
      <c r="B8" s="12" t="s">
        <v>55</v>
      </c>
      <c r="C8" s="12" t="s">
        <v>1402</v>
      </c>
      <c r="D8" s="12" t="s">
        <v>509</v>
      </c>
      <c r="E8" s="12" t="s">
        <v>1403</v>
      </c>
      <c r="F8" s="12" t="s">
        <v>1394</v>
      </c>
    </row>
    <row r="9" customFormat="false" ht="23.85" hidden="false" customHeight="false" outlineLevel="0" collapsed="false">
      <c r="A9" s="11" t="s">
        <v>1404</v>
      </c>
      <c r="B9" s="11" t="s">
        <v>1367</v>
      </c>
      <c r="C9" s="11" t="s">
        <v>1405</v>
      </c>
      <c r="D9" s="11" t="s">
        <v>509</v>
      </c>
      <c r="E9" s="11" t="s">
        <v>1406</v>
      </c>
      <c r="F9" s="11" t="s">
        <v>1394</v>
      </c>
    </row>
    <row r="10" customFormat="false" ht="15" hidden="false" customHeight="false" outlineLevel="0" collapsed="false">
      <c r="A10" s="12" t="s">
        <v>1407</v>
      </c>
      <c r="B10" s="12" t="s">
        <v>1371</v>
      </c>
      <c r="C10" s="12" t="s">
        <v>1408</v>
      </c>
      <c r="D10" s="12" t="s">
        <v>509</v>
      </c>
      <c r="E10" s="12" t="s">
        <v>1409</v>
      </c>
      <c r="F10" s="12" t="s">
        <v>515</v>
      </c>
    </row>
    <row r="11" customFormat="false" ht="15" hidden="false" customHeight="false" outlineLevel="0" collapsed="false">
      <c r="A11" s="11" t="s">
        <v>1410</v>
      </c>
      <c r="B11" s="11" t="s">
        <v>1411</v>
      </c>
      <c r="C11" s="11" t="s">
        <v>1412</v>
      </c>
      <c r="D11" s="11" t="s">
        <v>509</v>
      </c>
      <c r="E11" s="11" t="s">
        <v>1413</v>
      </c>
      <c r="F11" s="11" t="s">
        <v>515</v>
      </c>
    </row>
    <row r="12" customFormat="false" ht="15" hidden="false" customHeight="false" outlineLevel="0" collapsed="false">
      <c r="A12" s="12" t="s">
        <v>1414</v>
      </c>
      <c r="B12" s="12" t="s">
        <v>453</v>
      </c>
      <c r="C12" s="12" t="s">
        <v>1415</v>
      </c>
      <c r="D12" s="12" t="s">
        <v>536</v>
      </c>
      <c r="E12" s="12" t="s">
        <v>1416</v>
      </c>
      <c r="F12" s="12" t="s">
        <v>1394</v>
      </c>
    </row>
    <row r="13" customFormat="false" ht="15" hidden="false" customHeight="false" outlineLevel="0" collapsed="false">
      <c r="A13" s="11" t="s">
        <v>1417</v>
      </c>
      <c r="B13" s="11" t="s">
        <v>189</v>
      </c>
      <c r="C13" s="11" t="s">
        <v>1418</v>
      </c>
      <c r="D13" s="11" t="s">
        <v>536</v>
      </c>
      <c r="E13" s="11" t="s">
        <v>1419</v>
      </c>
      <c r="F13" s="11" t="s">
        <v>548</v>
      </c>
    </row>
    <row r="14" customFormat="false" ht="15" hidden="false" customHeight="false" outlineLevel="0" collapsed="false">
      <c r="A14" s="12" t="s">
        <v>1420</v>
      </c>
      <c r="B14" s="12" t="s">
        <v>256</v>
      </c>
      <c r="C14" s="12" t="s">
        <v>1421</v>
      </c>
      <c r="D14" s="12" t="s">
        <v>509</v>
      </c>
      <c r="E14" s="12" t="s">
        <v>1422</v>
      </c>
      <c r="F14" s="12" t="s">
        <v>1394</v>
      </c>
    </row>
    <row r="15" customFormat="false" ht="15" hidden="false" customHeight="false" outlineLevel="0" collapsed="false">
      <c r="A15" s="11" t="s">
        <v>1423</v>
      </c>
      <c r="B15" s="11" t="s">
        <v>39</v>
      </c>
      <c r="C15" s="11" t="s">
        <v>1424</v>
      </c>
      <c r="D15" s="11" t="s">
        <v>509</v>
      </c>
      <c r="E15" s="11" t="s">
        <v>1425</v>
      </c>
      <c r="F15" s="11" t="s">
        <v>515</v>
      </c>
    </row>
    <row r="16" customFormat="false" ht="15" hidden="false" customHeight="false" outlineLevel="0" collapsed="false">
      <c r="A16" s="12" t="s">
        <v>1426</v>
      </c>
      <c r="B16" s="12" t="s">
        <v>1427</v>
      </c>
      <c r="C16" s="12" t="s">
        <v>1428</v>
      </c>
      <c r="D16" s="12" t="s">
        <v>536</v>
      </c>
      <c r="E16" s="12" t="s">
        <v>352</v>
      </c>
      <c r="F16" s="12" t="s">
        <v>1394</v>
      </c>
    </row>
    <row r="17" customFormat="false" ht="15" hidden="false" customHeight="false" outlineLevel="0" collapsed="false">
      <c r="A17" s="11" t="s">
        <v>1429</v>
      </c>
      <c r="B17" s="11" t="s">
        <v>1430</v>
      </c>
      <c r="C17" s="11" t="s">
        <v>1431</v>
      </c>
      <c r="D17" s="11" t="s">
        <v>552</v>
      </c>
      <c r="E17" s="11" t="s">
        <v>1432</v>
      </c>
      <c r="F17" s="11" t="s">
        <v>548</v>
      </c>
    </row>
  </sheetData>
  <autoFilter ref="A4:F17"/>
  <mergeCells count="2">
    <mergeCell ref="A1:F1"/>
    <mergeCell ref="A2:F2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drawing r:id="rId1"/>
</worksheet>
</file>

<file path=xl/worksheets/sheet10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E16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4" topLeftCell="A5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customHeight="false" zeroHeight="false" outlineLevelRow="0" outlineLevelCol="0"/>
  <cols>
    <col collapsed="false" customWidth="true" hidden="false" outlineLevel="0" max="1" min="1" style="0" width="10"/>
    <col collapsed="false" customWidth="true" hidden="false" outlineLevel="0" max="2" min="2" style="0" width="22"/>
    <col collapsed="false" customWidth="true" hidden="false" outlineLevel="0" max="3" min="3" style="0" width="46"/>
    <col collapsed="false" customWidth="true" hidden="false" outlineLevel="0" max="4" min="4" style="0" width="34"/>
    <col collapsed="false" customWidth="true" hidden="false" outlineLevel="0" max="5" min="5" style="0" width="8"/>
  </cols>
  <sheetData>
    <row r="1" customFormat="false" ht="30" hidden="false" customHeight="true" outlineLevel="0" collapsed="false">
      <c r="A1" s="8" t="s">
        <v>1433</v>
      </c>
      <c r="B1" s="8"/>
      <c r="C1" s="8"/>
      <c r="D1" s="8"/>
      <c r="E1" s="8"/>
    </row>
    <row r="2" customFormat="false" ht="18" hidden="false" customHeight="true" outlineLevel="0" collapsed="false">
      <c r="A2" s="9" t="s">
        <v>1434</v>
      </c>
      <c r="B2" s="9"/>
      <c r="C2" s="9"/>
      <c r="D2" s="9"/>
      <c r="E2" s="9"/>
    </row>
    <row r="4" customFormat="false" ht="27.75" hidden="false" customHeight="true" outlineLevel="0" collapsed="false">
      <c r="A4" s="10" t="s">
        <v>1435</v>
      </c>
      <c r="B4" s="10" t="s">
        <v>1436</v>
      </c>
      <c r="C4" s="10" t="s">
        <v>1437</v>
      </c>
      <c r="D4" s="10" t="s">
        <v>1350</v>
      </c>
      <c r="E4" s="10" t="s">
        <v>1438</v>
      </c>
    </row>
    <row r="5" customFormat="false" ht="15" hidden="false" customHeight="false" outlineLevel="0" collapsed="false">
      <c r="A5" s="11" t="s">
        <v>1439</v>
      </c>
      <c r="B5" s="11" t="s">
        <v>1440</v>
      </c>
      <c r="C5" s="11" t="s">
        <v>1441</v>
      </c>
      <c r="D5" s="11" t="s">
        <v>1442</v>
      </c>
      <c r="E5" s="11" t="s">
        <v>1443</v>
      </c>
    </row>
    <row r="6" customFormat="false" ht="15" hidden="false" customHeight="false" outlineLevel="0" collapsed="false">
      <c r="A6" s="12" t="s">
        <v>1444</v>
      </c>
      <c r="B6" s="12" t="s">
        <v>1445</v>
      </c>
      <c r="C6" s="12" t="s">
        <v>875</v>
      </c>
      <c r="D6" s="12" t="s">
        <v>1446</v>
      </c>
      <c r="E6" s="12" t="s">
        <v>1443</v>
      </c>
    </row>
    <row r="7" customFormat="false" ht="15" hidden="false" customHeight="false" outlineLevel="0" collapsed="false">
      <c r="A7" s="11" t="s">
        <v>1447</v>
      </c>
      <c r="B7" s="11" t="s">
        <v>1448</v>
      </c>
      <c r="C7" s="11" t="s">
        <v>1449</v>
      </c>
      <c r="D7" s="11" t="s">
        <v>1450</v>
      </c>
      <c r="E7" s="11" t="s">
        <v>1443</v>
      </c>
    </row>
    <row r="8" customFormat="false" ht="15" hidden="false" customHeight="false" outlineLevel="0" collapsed="false">
      <c r="A8" s="12" t="s">
        <v>1451</v>
      </c>
      <c r="B8" s="12" t="s">
        <v>1452</v>
      </c>
      <c r="C8" s="12" t="s">
        <v>1453</v>
      </c>
      <c r="D8" s="12" t="s">
        <v>1454</v>
      </c>
      <c r="E8" s="12" t="s">
        <v>1455</v>
      </c>
    </row>
    <row r="9" customFormat="false" ht="15" hidden="false" customHeight="false" outlineLevel="0" collapsed="false">
      <c r="A9" s="11" t="s">
        <v>1456</v>
      </c>
      <c r="B9" s="11" t="s">
        <v>1457</v>
      </c>
      <c r="C9" s="11" t="s">
        <v>1458</v>
      </c>
      <c r="D9" s="11" t="s">
        <v>1459</v>
      </c>
      <c r="E9" s="11" t="s">
        <v>1443</v>
      </c>
    </row>
    <row r="10" customFormat="false" ht="15" hidden="false" customHeight="false" outlineLevel="0" collapsed="false">
      <c r="A10" s="12" t="s">
        <v>1460</v>
      </c>
      <c r="B10" s="12" t="s">
        <v>1461</v>
      </c>
      <c r="C10" s="12" t="s">
        <v>1462</v>
      </c>
      <c r="D10" s="12" t="s">
        <v>1463</v>
      </c>
      <c r="E10" s="12" t="s">
        <v>1443</v>
      </c>
    </row>
    <row r="11" customFormat="false" ht="15" hidden="false" customHeight="false" outlineLevel="0" collapsed="false">
      <c r="A11" s="11" t="s">
        <v>1464</v>
      </c>
      <c r="B11" s="11" t="s">
        <v>1465</v>
      </c>
      <c r="C11" s="11" t="s">
        <v>1466</v>
      </c>
      <c r="D11" s="11" t="s">
        <v>1467</v>
      </c>
      <c r="E11" s="11" t="s">
        <v>1443</v>
      </c>
    </row>
    <row r="12" customFormat="false" ht="15" hidden="false" customHeight="false" outlineLevel="0" collapsed="false">
      <c r="A12" s="12" t="s">
        <v>1468</v>
      </c>
      <c r="B12" s="12" t="s">
        <v>1378</v>
      </c>
      <c r="C12" s="12" t="s">
        <v>1469</v>
      </c>
      <c r="D12" s="12" t="s">
        <v>1470</v>
      </c>
      <c r="E12" s="12" t="s">
        <v>1443</v>
      </c>
    </row>
    <row r="13" customFormat="false" ht="15" hidden="false" customHeight="false" outlineLevel="0" collapsed="false">
      <c r="A13" s="11" t="s">
        <v>1471</v>
      </c>
      <c r="B13" s="11" t="s">
        <v>822</v>
      </c>
      <c r="C13" s="11" t="s">
        <v>1472</v>
      </c>
      <c r="D13" s="11" t="s">
        <v>1473</v>
      </c>
      <c r="E13" s="11" t="s">
        <v>1455</v>
      </c>
    </row>
    <row r="14" customFormat="false" ht="15" hidden="false" customHeight="false" outlineLevel="0" collapsed="false">
      <c r="A14" s="12" t="s">
        <v>1474</v>
      </c>
      <c r="B14" s="12" t="s">
        <v>614</v>
      </c>
      <c r="C14" s="12" t="s">
        <v>1475</v>
      </c>
      <c r="D14" s="12" t="s">
        <v>1476</v>
      </c>
      <c r="E14" s="12" t="s">
        <v>1455</v>
      </c>
    </row>
    <row r="15" customFormat="false" ht="15" hidden="false" customHeight="false" outlineLevel="0" collapsed="false">
      <c r="A15" s="11" t="s">
        <v>1477</v>
      </c>
      <c r="B15" s="11" t="s">
        <v>1478</v>
      </c>
      <c r="C15" s="11" t="s">
        <v>1479</v>
      </c>
      <c r="D15" s="11" t="s">
        <v>1480</v>
      </c>
      <c r="E15" s="11" t="s">
        <v>1443</v>
      </c>
    </row>
    <row r="16" customFormat="false" ht="15" hidden="false" customHeight="false" outlineLevel="0" collapsed="false">
      <c r="A16" s="12" t="s">
        <v>1481</v>
      </c>
      <c r="B16" s="12" t="s">
        <v>1482</v>
      </c>
      <c r="C16" s="12" t="s">
        <v>1483</v>
      </c>
      <c r="D16" s="12" t="s">
        <v>1484</v>
      </c>
      <c r="E16" s="12" t="s">
        <v>1443</v>
      </c>
    </row>
  </sheetData>
  <autoFilter ref="A4:E16"/>
  <mergeCells count="2">
    <mergeCell ref="A1:E1"/>
    <mergeCell ref="A2:E2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drawing r:id="rId1"/>
</worksheet>
</file>

<file path=xl/worksheets/sheet1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D11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4" topLeftCell="A5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customHeight="false" zeroHeight="false" outlineLevelRow="0" outlineLevelCol="0"/>
  <cols>
    <col collapsed="false" customWidth="true" hidden="false" outlineLevel="0" max="1" min="1" style="0" width="10"/>
    <col collapsed="false" customWidth="true" hidden="false" outlineLevel="0" max="2" min="2" style="0" width="22"/>
    <col collapsed="false" customWidth="true" hidden="false" outlineLevel="0" max="3" min="3" style="0" width="52"/>
    <col collapsed="false" customWidth="true" hidden="false" outlineLevel="0" max="4" min="4" style="0" width="40"/>
  </cols>
  <sheetData>
    <row r="1" customFormat="false" ht="30" hidden="false" customHeight="true" outlineLevel="0" collapsed="false">
      <c r="A1" s="8" t="s">
        <v>1485</v>
      </c>
      <c r="B1" s="8"/>
      <c r="C1" s="8"/>
      <c r="D1" s="8"/>
    </row>
    <row r="2" customFormat="false" ht="18" hidden="false" customHeight="true" outlineLevel="0" collapsed="false">
      <c r="A2" s="9" t="s">
        <v>1486</v>
      </c>
      <c r="B2" s="9"/>
      <c r="C2" s="9"/>
      <c r="D2" s="9"/>
    </row>
    <row r="4" customFormat="false" ht="27.75" hidden="false" customHeight="true" outlineLevel="0" collapsed="false">
      <c r="A4" s="10" t="s">
        <v>1487</v>
      </c>
      <c r="B4" s="10" t="s">
        <v>1488</v>
      </c>
      <c r="C4" s="10" t="s">
        <v>1489</v>
      </c>
      <c r="D4" s="10" t="s">
        <v>1490</v>
      </c>
    </row>
    <row r="5" customFormat="false" ht="15" hidden="false" customHeight="false" outlineLevel="0" collapsed="false">
      <c r="A5" s="11" t="s">
        <v>1491</v>
      </c>
      <c r="B5" s="11" t="s">
        <v>413</v>
      </c>
      <c r="C5" s="11" t="s">
        <v>1492</v>
      </c>
      <c r="D5" s="11" t="s">
        <v>1493</v>
      </c>
    </row>
    <row r="6" customFormat="false" ht="15" hidden="false" customHeight="false" outlineLevel="0" collapsed="false">
      <c r="A6" s="12" t="s">
        <v>1494</v>
      </c>
      <c r="B6" s="12" t="s">
        <v>1495</v>
      </c>
      <c r="C6" s="12" t="s">
        <v>1496</v>
      </c>
      <c r="D6" s="12" t="s">
        <v>1497</v>
      </c>
    </row>
    <row r="7" customFormat="false" ht="15" hidden="false" customHeight="false" outlineLevel="0" collapsed="false">
      <c r="A7" s="11" t="s">
        <v>1498</v>
      </c>
      <c r="B7" s="11" t="s">
        <v>1499</v>
      </c>
      <c r="C7" s="11" t="s">
        <v>1500</v>
      </c>
      <c r="D7" s="11" t="s">
        <v>1501</v>
      </c>
    </row>
    <row r="8" customFormat="false" ht="15" hidden="false" customHeight="false" outlineLevel="0" collapsed="false">
      <c r="A8" s="12" t="s">
        <v>1502</v>
      </c>
      <c r="B8" s="12" t="s">
        <v>1503</v>
      </c>
      <c r="C8" s="12" t="s">
        <v>1504</v>
      </c>
      <c r="D8" s="12" t="s">
        <v>1505</v>
      </c>
    </row>
    <row r="9" customFormat="false" ht="15" hidden="false" customHeight="false" outlineLevel="0" collapsed="false">
      <c r="A9" s="11" t="s">
        <v>1506</v>
      </c>
      <c r="B9" s="11" t="s">
        <v>1507</v>
      </c>
      <c r="C9" s="11" t="s">
        <v>1508</v>
      </c>
      <c r="D9" s="11" t="s">
        <v>1509</v>
      </c>
    </row>
    <row r="10" customFormat="false" ht="15" hidden="false" customHeight="false" outlineLevel="0" collapsed="false">
      <c r="A10" s="12" t="s">
        <v>1510</v>
      </c>
      <c r="B10" s="12" t="s">
        <v>1511</v>
      </c>
      <c r="C10" s="12" t="s">
        <v>1512</v>
      </c>
      <c r="D10" s="12" t="s">
        <v>1513</v>
      </c>
    </row>
    <row r="11" customFormat="false" ht="15" hidden="false" customHeight="false" outlineLevel="0" collapsed="false">
      <c r="A11" s="11" t="s">
        <v>1514</v>
      </c>
      <c r="B11" s="11" t="s">
        <v>1515</v>
      </c>
      <c r="C11" s="11" t="s">
        <v>1516</v>
      </c>
      <c r="D11" s="11" t="s">
        <v>1517</v>
      </c>
    </row>
  </sheetData>
  <autoFilter ref="A4:D11"/>
  <mergeCells count="2">
    <mergeCell ref="A1:D1"/>
    <mergeCell ref="A2:D2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drawing r:id="rId1"/>
</worksheet>
</file>

<file path=xl/worksheets/sheet1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D12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4" topLeftCell="A5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customHeight="false" zeroHeight="false" outlineLevelRow="0" outlineLevelCol="0"/>
  <cols>
    <col collapsed="false" customWidth="true" hidden="false" outlineLevel="0" max="1" min="1" style="0" width="22"/>
    <col collapsed="false" customWidth="true" hidden="false" outlineLevel="0" max="2" min="2" style="0" width="40"/>
    <col collapsed="false" customWidth="true" hidden="false" outlineLevel="0" max="3" min="3" style="0" width="34"/>
    <col collapsed="false" customWidth="true" hidden="false" outlineLevel="0" max="4" min="4" style="0" width="44"/>
  </cols>
  <sheetData>
    <row r="1" customFormat="false" ht="30" hidden="false" customHeight="true" outlineLevel="0" collapsed="false">
      <c r="A1" s="8" t="s">
        <v>1518</v>
      </c>
      <c r="B1" s="8"/>
      <c r="C1" s="8"/>
      <c r="D1" s="8"/>
    </row>
    <row r="2" customFormat="false" ht="18" hidden="false" customHeight="true" outlineLevel="0" collapsed="false">
      <c r="A2" s="9" t="s">
        <v>1519</v>
      </c>
      <c r="B2" s="9"/>
      <c r="C2" s="9"/>
      <c r="D2" s="9"/>
    </row>
    <row r="4" customFormat="false" ht="27.75" hidden="false" customHeight="true" outlineLevel="0" collapsed="false">
      <c r="A4" s="10" t="s">
        <v>495</v>
      </c>
      <c r="B4" s="10" t="s">
        <v>96</v>
      </c>
      <c r="C4" s="10" t="s">
        <v>1520</v>
      </c>
      <c r="D4" s="10" t="s">
        <v>1521</v>
      </c>
    </row>
    <row r="5" customFormat="false" ht="15" hidden="false" customHeight="false" outlineLevel="0" collapsed="false">
      <c r="A5" s="11" t="s">
        <v>1522</v>
      </c>
      <c r="B5" s="11" t="s">
        <v>1523</v>
      </c>
      <c r="C5" s="11" t="s">
        <v>1524</v>
      </c>
      <c r="D5" s="11" t="s">
        <v>1525</v>
      </c>
    </row>
    <row r="6" customFormat="false" ht="23.85" hidden="false" customHeight="false" outlineLevel="0" collapsed="false">
      <c r="A6" s="12" t="s">
        <v>1526</v>
      </c>
      <c r="B6" s="12" t="s">
        <v>1527</v>
      </c>
      <c r="C6" s="12" t="s">
        <v>1528</v>
      </c>
      <c r="D6" s="12" t="s">
        <v>1529</v>
      </c>
    </row>
    <row r="7" customFormat="false" ht="23.85" hidden="false" customHeight="false" outlineLevel="0" collapsed="false">
      <c r="A7" s="11" t="s">
        <v>1530</v>
      </c>
      <c r="B7" s="11" t="s">
        <v>1531</v>
      </c>
      <c r="C7" s="11" t="s">
        <v>1532</v>
      </c>
      <c r="D7" s="11" t="s">
        <v>1533</v>
      </c>
    </row>
    <row r="8" customFormat="false" ht="23.85" hidden="false" customHeight="false" outlineLevel="0" collapsed="false">
      <c r="A8" s="12" t="s">
        <v>1534</v>
      </c>
      <c r="B8" s="12" t="s">
        <v>1535</v>
      </c>
      <c r="C8" s="12" t="s">
        <v>1536</v>
      </c>
      <c r="D8" s="12" t="s">
        <v>1537</v>
      </c>
    </row>
    <row r="9" customFormat="false" ht="23.85" hidden="false" customHeight="false" outlineLevel="0" collapsed="false">
      <c r="A9" s="11" t="s">
        <v>1538</v>
      </c>
      <c r="B9" s="11" t="s">
        <v>1539</v>
      </c>
      <c r="C9" s="11" t="s">
        <v>1540</v>
      </c>
      <c r="D9" s="11" t="s">
        <v>1541</v>
      </c>
    </row>
    <row r="10" customFormat="false" ht="15" hidden="false" customHeight="false" outlineLevel="0" collapsed="false">
      <c r="A10" s="12" t="s">
        <v>1542</v>
      </c>
      <c r="B10" s="12" t="s">
        <v>1543</v>
      </c>
      <c r="C10" s="12" t="s">
        <v>1544</v>
      </c>
      <c r="D10" s="12" t="s">
        <v>1545</v>
      </c>
    </row>
    <row r="11" customFormat="false" ht="15" hidden="false" customHeight="false" outlineLevel="0" collapsed="false">
      <c r="A11" s="11" t="s">
        <v>1546</v>
      </c>
      <c r="B11" s="11" t="s">
        <v>1547</v>
      </c>
      <c r="C11" s="11" t="s">
        <v>1548</v>
      </c>
      <c r="D11" s="11" t="s">
        <v>1549</v>
      </c>
    </row>
    <row r="12" customFormat="false" ht="23.85" hidden="false" customHeight="false" outlineLevel="0" collapsed="false">
      <c r="A12" s="12" t="s">
        <v>1550</v>
      </c>
      <c r="B12" s="12" t="s">
        <v>1551</v>
      </c>
      <c r="C12" s="12" t="s">
        <v>1552</v>
      </c>
      <c r="D12" s="12" t="s">
        <v>1553</v>
      </c>
    </row>
  </sheetData>
  <autoFilter ref="A4:D12"/>
  <mergeCells count="2">
    <mergeCell ref="A1:D1"/>
    <mergeCell ref="A2:D2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drawing r:id="rId1"/>
</worksheet>
</file>

<file path=xl/worksheets/sheet1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D12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4" topLeftCell="A5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customHeight="false" zeroHeight="false" outlineLevelRow="0" outlineLevelCol="0"/>
  <cols>
    <col collapsed="false" customWidth="true" hidden="false" outlineLevel="0" max="1" min="1" style="0" width="22"/>
    <col collapsed="false" customWidth="true" hidden="false" outlineLevel="0" max="3" min="2" style="0" width="40"/>
    <col collapsed="false" customWidth="true" hidden="false" outlineLevel="0" max="4" min="4" style="0" width="30"/>
  </cols>
  <sheetData>
    <row r="1" customFormat="false" ht="30" hidden="false" customHeight="true" outlineLevel="0" collapsed="false">
      <c r="A1" s="8" t="s">
        <v>1554</v>
      </c>
      <c r="B1" s="8"/>
      <c r="C1" s="8"/>
      <c r="D1" s="8"/>
    </row>
    <row r="2" customFormat="false" ht="18" hidden="false" customHeight="true" outlineLevel="0" collapsed="false">
      <c r="A2" s="9" t="s">
        <v>1555</v>
      </c>
      <c r="B2" s="9"/>
      <c r="C2" s="9"/>
      <c r="D2" s="9"/>
    </row>
    <row r="4" customFormat="false" ht="27.75" hidden="false" customHeight="true" outlineLevel="0" collapsed="false">
      <c r="A4" s="10" t="s">
        <v>495</v>
      </c>
      <c r="B4" s="10" t="s">
        <v>96</v>
      </c>
      <c r="C4" s="10" t="s">
        <v>1556</v>
      </c>
      <c r="D4" s="10" t="s">
        <v>1557</v>
      </c>
    </row>
    <row r="5" customFormat="false" ht="15" hidden="false" customHeight="false" outlineLevel="0" collapsed="false">
      <c r="A5" s="11" t="s">
        <v>1558</v>
      </c>
      <c r="B5" s="11" t="s">
        <v>1559</v>
      </c>
      <c r="C5" s="11" t="s">
        <v>1560</v>
      </c>
      <c r="D5" s="11" t="s">
        <v>1561</v>
      </c>
    </row>
    <row r="6" customFormat="false" ht="15" hidden="false" customHeight="false" outlineLevel="0" collapsed="false">
      <c r="A6" s="12" t="s">
        <v>1562</v>
      </c>
      <c r="B6" s="12" t="s">
        <v>1563</v>
      </c>
      <c r="C6" s="12" t="s">
        <v>1564</v>
      </c>
      <c r="D6" s="12" t="s">
        <v>1565</v>
      </c>
    </row>
    <row r="7" customFormat="false" ht="15" hidden="false" customHeight="false" outlineLevel="0" collapsed="false">
      <c r="A7" s="11" t="s">
        <v>1566</v>
      </c>
      <c r="B7" s="11" t="s">
        <v>1567</v>
      </c>
      <c r="C7" s="11" t="s">
        <v>1568</v>
      </c>
      <c r="D7" s="11" t="s">
        <v>1569</v>
      </c>
    </row>
    <row r="8" customFormat="false" ht="15" hidden="false" customHeight="false" outlineLevel="0" collapsed="false">
      <c r="A8" s="12" t="s">
        <v>1570</v>
      </c>
      <c r="B8" s="12" t="s">
        <v>1571</v>
      </c>
      <c r="C8" s="12" t="s">
        <v>1572</v>
      </c>
      <c r="D8" s="12" t="s">
        <v>1573</v>
      </c>
    </row>
    <row r="9" customFormat="false" ht="23.85" hidden="false" customHeight="false" outlineLevel="0" collapsed="false">
      <c r="A9" s="11" t="s">
        <v>1574</v>
      </c>
      <c r="B9" s="11" t="s">
        <v>1575</v>
      </c>
      <c r="C9" s="11" t="s">
        <v>1576</v>
      </c>
      <c r="D9" s="11" t="s">
        <v>1577</v>
      </c>
    </row>
    <row r="10" customFormat="false" ht="15" hidden="false" customHeight="false" outlineLevel="0" collapsed="false">
      <c r="A10" s="12" t="s">
        <v>1578</v>
      </c>
      <c r="B10" s="12" t="s">
        <v>1579</v>
      </c>
      <c r="C10" s="12" t="s">
        <v>1580</v>
      </c>
      <c r="D10" s="12" t="s">
        <v>1581</v>
      </c>
    </row>
    <row r="11" customFormat="false" ht="15" hidden="false" customHeight="false" outlineLevel="0" collapsed="false">
      <c r="A11" s="11" t="s">
        <v>1582</v>
      </c>
      <c r="B11" s="11" t="s">
        <v>1583</v>
      </c>
      <c r="C11" s="11" t="s">
        <v>1584</v>
      </c>
      <c r="D11" s="11" t="s">
        <v>1585</v>
      </c>
    </row>
    <row r="12" customFormat="false" ht="23.85" hidden="false" customHeight="false" outlineLevel="0" collapsed="false">
      <c r="A12" s="12" t="s">
        <v>1586</v>
      </c>
      <c r="B12" s="12" t="s">
        <v>1587</v>
      </c>
      <c r="C12" s="12" t="s">
        <v>1588</v>
      </c>
      <c r="D12" s="12" t="s">
        <v>1589</v>
      </c>
    </row>
  </sheetData>
  <autoFilter ref="A4:D12"/>
  <mergeCells count="2">
    <mergeCell ref="A1:D1"/>
    <mergeCell ref="A2:D2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drawing r:id="rId1"/>
</worksheet>
</file>

<file path=xl/worksheets/sheet1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E19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4" topLeftCell="A5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customHeight="false" zeroHeight="false" outlineLevelRow="0" outlineLevelCol="0"/>
  <cols>
    <col collapsed="false" customWidth="true" hidden="false" outlineLevel="0" max="1" min="1" style="0" width="10"/>
    <col collapsed="false" customWidth="true" hidden="false" outlineLevel="0" max="2" min="2" style="0" width="26"/>
    <col collapsed="false" customWidth="true" hidden="false" outlineLevel="0" max="3" min="3" style="0" width="46"/>
    <col collapsed="false" customWidth="true" hidden="false" outlineLevel="0" max="4" min="4" style="0" width="34"/>
    <col collapsed="false" customWidth="true" hidden="false" outlineLevel="0" max="5" min="5" style="0" width="9"/>
  </cols>
  <sheetData>
    <row r="1" customFormat="false" ht="30" hidden="false" customHeight="true" outlineLevel="0" collapsed="false">
      <c r="A1" s="8" t="s">
        <v>339</v>
      </c>
      <c r="B1" s="8"/>
      <c r="C1" s="8"/>
      <c r="D1" s="8"/>
      <c r="E1" s="8"/>
    </row>
    <row r="2" customFormat="false" ht="18" hidden="false" customHeight="true" outlineLevel="0" collapsed="false">
      <c r="A2" s="9" t="s">
        <v>1590</v>
      </c>
      <c r="B2" s="9"/>
      <c r="C2" s="9"/>
      <c r="D2" s="9"/>
      <c r="E2" s="9"/>
    </row>
    <row r="4" customFormat="false" ht="27.75" hidden="false" customHeight="true" outlineLevel="0" collapsed="false">
      <c r="A4" s="10" t="s">
        <v>1591</v>
      </c>
      <c r="B4" s="10" t="s">
        <v>1592</v>
      </c>
      <c r="C4" s="10" t="s">
        <v>1593</v>
      </c>
      <c r="D4" s="10" t="s">
        <v>1350</v>
      </c>
      <c r="E4" s="10" t="s">
        <v>496</v>
      </c>
    </row>
    <row r="5" customFormat="false" ht="23.85" hidden="false" customHeight="false" outlineLevel="0" collapsed="false">
      <c r="A5" s="11" t="s">
        <v>1594</v>
      </c>
      <c r="B5" s="11" t="s">
        <v>1595</v>
      </c>
      <c r="C5" s="11" t="s">
        <v>1596</v>
      </c>
      <c r="D5" s="11" t="s">
        <v>1597</v>
      </c>
      <c r="E5" s="11" t="s">
        <v>509</v>
      </c>
    </row>
    <row r="6" customFormat="false" ht="15" hidden="false" customHeight="false" outlineLevel="0" collapsed="false">
      <c r="A6" s="12" t="s">
        <v>1598</v>
      </c>
      <c r="B6" s="12" t="s">
        <v>1595</v>
      </c>
      <c r="C6" s="12" t="s">
        <v>1599</v>
      </c>
      <c r="D6" s="12" t="s">
        <v>1600</v>
      </c>
      <c r="E6" s="12" t="s">
        <v>509</v>
      </c>
    </row>
    <row r="7" customFormat="false" ht="15" hidden="false" customHeight="false" outlineLevel="0" collapsed="false">
      <c r="A7" s="11" t="s">
        <v>1601</v>
      </c>
      <c r="B7" s="11" t="s">
        <v>1602</v>
      </c>
      <c r="C7" s="11" t="s">
        <v>1603</v>
      </c>
      <c r="D7" s="11" t="s">
        <v>1604</v>
      </c>
      <c r="E7" s="11" t="s">
        <v>509</v>
      </c>
    </row>
    <row r="8" customFormat="false" ht="15" hidden="false" customHeight="false" outlineLevel="0" collapsed="false">
      <c r="A8" s="12" t="s">
        <v>1605</v>
      </c>
      <c r="B8" s="12" t="s">
        <v>1183</v>
      </c>
      <c r="C8" s="12" t="s">
        <v>1606</v>
      </c>
      <c r="D8" s="12" t="s">
        <v>1607</v>
      </c>
      <c r="E8" s="12" t="s">
        <v>509</v>
      </c>
    </row>
    <row r="9" customFormat="false" ht="15" hidden="false" customHeight="false" outlineLevel="0" collapsed="false">
      <c r="A9" s="11" t="s">
        <v>1608</v>
      </c>
      <c r="B9" s="11" t="s">
        <v>1609</v>
      </c>
      <c r="C9" s="11" t="s">
        <v>1610</v>
      </c>
      <c r="D9" s="11" t="s">
        <v>1611</v>
      </c>
      <c r="E9" s="11" t="s">
        <v>509</v>
      </c>
    </row>
    <row r="10" customFormat="false" ht="15" hidden="false" customHeight="false" outlineLevel="0" collapsed="false">
      <c r="A10" s="12" t="s">
        <v>1612</v>
      </c>
      <c r="B10" s="12" t="s">
        <v>1613</v>
      </c>
      <c r="C10" s="12" t="s">
        <v>1614</v>
      </c>
      <c r="D10" s="12" t="s">
        <v>1615</v>
      </c>
      <c r="E10" s="12" t="s">
        <v>536</v>
      </c>
    </row>
    <row r="11" customFormat="false" ht="15" hidden="false" customHeight="false" outlineLevel="0" collapsed="false">
      <c r="A11" s="11" t="s">
        <v>1616</v>
      </c>
      <c r="B11" s="11" t="s">
        <v>1617</v>
      </c>
      <c r="C11" s="11" t="s">
        <v>1618</v>
      </c>
      <c r="D11" s="11" t="s">
        <v>1619</v>
      </c>
      <c r="E11" s="11" t="s">
        <v>536</v>
      </c>
    </row>
    <row r="12" customFormat="false" ht="23.85" hidden="false" customHeight="false" outlineLevel="0" collapsed="false">
      <c r="A12" s="12" t="s">
        <v>1620</v>
      </c>
      <c r="B12" s="12" t="s">
        <v>1621</v>
      </c>
      <c r="C12" s="12" t="s">
        <v>1622</v>
      </c>
      <c r="D12" s="12" t="s">
        <v>1623</v>
      </c>
      <c r="E12" s="12" t="s">
        <v>509</v>
      </c>
    </row>
    <row r="13" customFormat="false" ht="15" hidden="false" customHeight="false" outlineLevel="0" collapsed="false">
      <c r="A13" s="11" t="s">
        <v>1624</v>
      </c>
      <c r="B13" s="11" t="s">
        <v>1625</v>
      </c>
      <c r="C13" s="11" t="s">
        <v>1626</v>
      </c>
      <c r="D13" s="11" t="s">
        <v>1627</v>
      </c>
      <c r="E13" s="11" t="s">
        <v>509</v>
      </c>
    </row>
    <row r="14" customFormat="false" ht="15" hidden="false" customHeight="false" outlineLevel="0" collapsed="false">
      <c r="A14" s="12" t="s">
        <v>1628</v>
      </c>
      <c r="B14" s="12" t="s">
        <v>1629</v>
      </c>
      <c r="C14" s="12" t="s">
        <v>1630</v>
      </c>
      <c r="D14" s="12" t="s">
        <v>1631</v>
      </c>
      <c r="E14" s="12" t="s">
        <v>536</v>
      </c>
    </row>
    <row r="15" customFormat="false" ht="15" hidden="false" customHeight="false" outlineLevel="0" collapsed="false">
      <c r="A15" s="11" t="s">
        <v>1632</v>
      </c>
      <c r="B15" s="11" t="s">
        <v>1633</v>
      </c>
      <c r="C15" s="11" t="s">
        <v>1634</v>
      </c>
      <c r="D15" s="11" t="s">
        <v>1635</v>
      </c>
      <c r="E15" s="11" t="s">
        <v>536</v>
      </c>
    </row>
    <row r="16" customFormat="false" ht="15" hidden="false" customHeight="false" outlineLevel="0" collapsed="false">
      <c r="A16" s="12" t="s">
        <v>1636</v>
      </c>
      <c r="B16" s="12" t="s">
        <v>1219</v>
      </c>
      <c r="C16" s="12" t="s">
        <v>1637</v>
      </c>
      <c r="D16" s="12" t="s">
        <v>1638</v>
      </c>
      <c r="E16" s="12" t="s">
        <v>509</v>
      </c>
    </row>
    <row r="17" customFormat="false" ht="23.85" hidden="false" customHeight="false" outlineLevel="0" collapsed="false">
      <c r="A17" s="11" t="s">
        <v>1639</v>
      </c>
      <c r="B17" s="11" t="s">
        <v>1640</v>
      </c>
      <c r="C17" s="11" t="s">
        <v>1641</v>
      </c>
      <c r="D17" s="11" t="s">
        <v>1642</v>
      </c>
      <c r="E17" s="11" t="s">
        <v>509</v>
      </c>
    </row>
    <row r="18" customFormat="false" ht="15" hidden="false" customHeight="false" outlineLevel="0" collapsed="false">
      <c r="A18" s="12" t="s">
        <v>1643</v>
      </c>
      <c r="B18" s="12" t="s">
        <v>1644</v>
      </c>
      <c r="C18" s="12" t="s">
        <v>1645</v>
      </c>
      <c r="D18" s="12" t="s">
        <v>1646</v>
      </c>
      <c r="E18" s="12" t="s">
        <v>509</v>
      </c>
    </row>
    <row r="19" customFormat="false" ht="23.85" hidden="false" customHeight="false" outlineLevel="0" collapsed="false">
      <c r="A19" s="11" t="s">
        <v>1647</v>
      </c>
      <c r="B19" s="11" t="s">
        <v>1648</v>
      </c>
      <c r="C19" s="11" t="s">
        <v>1649</v>
      </c>
      <c r="D19" s="11" t="s">
        <v>1650</v>
      </c>
      <c r="E19" s="11" t="s">
        <v>509</v>
      </c>
    </row>
  </sheetData>
  <autoFilter ref="A4:E19"/>
  <mergeCells count="2">
    <mergeCell ref="A1:E1"/>
    <mergeCell ref="A2:E2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drawing r:id="rId1"/>
</worksheet>
</file>

<file path=xl/worksheets/sheet1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E16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4" topLeftCell="A5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customHeight="false" zeroHeight="false" outlineLevelRow="0" outlineLevelCol="0"/>
  <cols>
    <col collapsed="false" customWidth="true" hidden="false" outlineLevel="0" max="1" min="1" style="0" width="10"/>
    <col collapsed="false" customWidth="true" hidden="false" outlineLevel="0" max="2" min="2" style="0" width="22"/>
    <col collapsed="false" customWidth="true" hidden="false" outlineLevel="0" max="3" min="3" style="0" width="48"/>
    <col collapsed="false" customWidth="true" hidden="false" outlineLevel="0" max="4" min="4" style="0" width="34"/>
    <col collapsed="false" customWidth="true" hidden="false" outlineLevel="0" max="5" min="5" style="0" width="9"/>
  </cols>
  <sheetData>
    <row r="1" customFormat="false" ht="30" hidden="false" customHeight="true" outlineLevel="0" collapsed="false">
      <c r="A1" s="8" t="s">
        <v>344</v>
      </c>
      <c r="B1" s="8"/>
      <c r="C1" s="8"/>
      <c r="D1" s="8"/>
      <c r="E1" s="8"/>
    </row>
    <row r="2" customFormat="false" ht="18" hidden="false" customHeight="true" outlineLevel="0" collapsed="false">
      <c r="A2" s="9" t="s">
        <v>1651</v>
      </c>
      <c r="B2" s="9"/>
      <c r="C2" s="9"/>
      <c r="D2" s="9"/>
      <c r="E2" s="9"/>
    </row>
    <row r="4" customFormat="false" ht="27.75" hidden="false" customHeight="true" outlineLevel="0" collapsed="false">
      <c r="A4" s="10" t="s">
        <v>1652</v>
      </c>
      <c r="B4" s="10" t="s">
        <v>197</v>
      </c>
      <c r="C4" s="10" t="s">
        <v>1593</v>
      </c>
      <c r="D4" s="10" t="s">
        <v>1350</v>
      </c>
      <c r="E4" s="10" t="s">
        <v>496</v>
      </c>
    </row>
    <row r="5" customFormat="false" ht="15" hidden="false" customHeight="false" outlineLevel="0" collapsed="false">
      <c r="A5" s="11" t="s">
        <v>1653</v>
      </c>
      <c r="B5" s="11" t="s">
        <v>1654</v>
      </c>
      <c r="C5" s="11" t="s">
        <v>1655</v>
      </c>
      <c r="D5" s="11" t="s">
        <v>1656</v>
      </c>
      <c r="E5" s="11" t="s">
        <v>509</v>
      </c>
    </row>
    <row r="6" customFormat="false" ht="35.05" hidden="false" customHeight="false" outlineLevel="0" collapsed="false">
      <c r="A6" s="12" t="s">
        <v>1657</v>
      </c>
      <c r="B6" s="12" t="s">
        <v>1247</v>
      </c>
      <c r="C6" s="12" t="s">
        <v>1658</v>
      </c>
      <c r="D6" s="12" t="s">
        <v>1659</v>
      </c>
      <c r="E6" s="12" t="s">
        <v>509</v>
      </c>
    </row>
    <row r="7" customFormat="false" ht="15" hidden="false" customHeight="false" outlineLevel="0" collapsed="false">
      <c r="A7" s="11" t="s">
        <v>1660</v>
      </c>
      <c r="B7" s="11" t="s">
        <v>1241</v>
      </c>
      <c r="C7" s="11" t="s">
        <v>1661</v>
      </c>
      <c r="D7" s="11" t="s">
        <v>1662</v>
      </c>
      <c r="E7" s="11" t="s">
        <v>509</v>
      </c>
    </row>
    <row r="8" customFormat="false" ht="23.85" hidden="false" customHeight="false" outlineLevel="0" collapsed="false">
      <c r="A8" s="12" t="s">
        <v>1663</v>
      </c>
      <c r="B8" s="12" t="s">
        <v>1664</v>
      </c>
      <c r="C8" s="12" t="s">
        <v>1665</v>
      </c>
      <c r="D8" s="12" t="s">
        <v>1666</v>
      </c>
      <c r="E8" s="12" t="s">
        <v>509</v>
      </c>
    </row>
    <row r="9" customFormat="false" ht="15" hidden="false" customHeight="false" outlineLevel="0" collapsed="false">
      <c r="A9" s="11" t="s">
        <v>1667</v>
      </c>
      <c r="B9" s="11" t="s">
        <v>1668</v>
      </c>
      <c r="C9" s="11" t="s">
        <v>1669</v>
      </c>
      <c r="D9" s="11" t="s">
        <v>1670</v>
      </c>
      <c r="E9" s="11" t="s">
        <v>509</v>
      </c>
    </row>
    <row r="10" customFormat="false" ht="15" hidden="false" customHeight="false" outlineLevel="0" collapsed="false">
      <c r="A10" s="12" t="s">
        <v>1671</v>
      </c>
      <c r="B10" s="12" t="s">
        <v>1257</v>
      </c>
      <c r="C10" s="12" t="s">
        <v>1672</v>
      </c>
      <c r="D10" s="12" t="s">
        <v>1673</v>
      </c>
      <c r="E10" s="12" t="s">
        <v>509</v>
      </c>
    </row>
    <row r="11" customFormat="false" ht="15" hidden="false" customHeight="false" outlineLevel="0" collapsed="false">
      <c r="A11" s="11" t="s">
        <v>1674</v>
      </c>
      <c r="B11" s="11" t="s">
        <v>1268</v>
      </c>
      <c r="C11" s="11" t="s">
        <v>1675</v>
      </c>
      <c r="D11" s="11" t="s">
        <v>1676</v>
      </c>
      <c r="E11" s="11" t="s">
        <v>509</v>
      </c>
    </row>
    <row r="12" customFormat="false" ht="15" hidden="false" customHeight="false" outlineLevel="0" collapsed="false">
      <c r="A12" s="12" t="s">
        <v>1677</v>
      </c>
      <c r="B12" s="12" t="s">
        <v>1273</v>
      </c>
      <c r="C12" s="12" t="s">
        <v>1678</v>
      </c>
      <c r="D12" s="12" t="s">
        <v>1679</v>
      </c>
      <c r="E12" s="12" t="s">
        <v>509</v>
      </c>
    </row>
    <row r="13" customFormat="false" ht="15" hidden="false" customHeight="false" outlineLevel="0" collapsed="false">
      <c r="A13" s="11" t="s">
        <v>1680</v>
      </c>
      <c r="B13" s="11" t="s">
        <v>1681</v>
      </c>
      <c r="C13" s="11" t="s">
        <v>1682</v>
      </c>
      <c r="D13" s="11" t="s">
        <v>1683</v>
      </c>
      <c r="E13" s="11" t="s">
        <v>536</v>
      </c>
    </row>
    <row r="14" customFormat="false" ht="15" hidden="false" customHeight="false" outlineLevel="0" collapsed="false">
      <c r="A14" s="12" t="s">
        <v>1684</v>
      </c>
      <c r="B14" s="12" t="s">
        <v>1685</v>
      </c>
      <c r="C14" s="12" t="s">
        <v>1686</v>
      </c>
      <c r="D14" s="12" t="s">
        <v>1687</v>
      </c>
      <c r="E14" s="12" t="s">
        <v>536</v>
      </c>
    </row>
    <row r="15" customFormat="false" ht="15" hidden="false" customHeight="false" outlineLevel="0" collapsed="false">
      <c r="A15" s="11" t="s">
        <v>1688</v>
      </c>
      <c r="B15" s="11" t="s">
        <v>1689</v>
      </c>
      <c r="C15" s="11" t="s">
        <v>1690</v>
      </c>
      <c r="D15" s="11" t="s">
        <v>1691</v>
      </c>
      <c r="E15" s="11" t="s">
        <v>536</v>
      </c>
    </row>
    <row r="16" customFormat="false" ht="15" hidden="false" customHeight="false" outlineLevel="0" collapsed="false">
      <c r="A16" s="12" t="s">
        <v>1692</v>
      </c>
      <c r="B16" s="12" t="s">
        <v>1693</v>
      </c>
      <c r="C16" s="12" t="s">
        <v>1694</v>
      </c>
      <c r="D16" s="12" t="s">
        <v>1695</v>
      </c>
      <c r="E16" s="12" t="s">
        <v>536</v>
      </c>
    </row>
  </sheetData>
  <autoFilter ref="A4:E16"/>
  <mergeCells count="2">
    <mergeCell ref="A1:E1"/>
    <mergeCell ref="A2:E2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drawing r:id="rId1"/>
</worksheet>
</file>

<file path=xl/worksheets/sheet1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E19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4" topLeftCell="A5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customHeight="false" zeroHeight="false" outlineLevelRow="0" outlineLevelCol="0"/>
  <cols>
    <col collapsed="false" customWidth="true" hidden="false" outlineLevel="0" max="1" min="1" style="0" width="10"/>
    <col collapsed="false" customWidth="true" hidden="false" outlineLevel="0" max="2" min="2" style="0" width="20"/>
    <col collapsed="false" customWidth="true" hidden="false" outlineLevel="0" max="3" min="3" style="0" width="46"/>
    <col collapsed="false" customWidth="true" hidden="false" outlineLevel="0" max="4" min="4" style="0" width="24"/>
    <col collapsed="false" customWidth="true" hidden="false" outlineLevel="0" max="5" min="5" style="0" width="9"/>
  </cols>
  <sheetData>
    <row r="1" customFormat="false" ht="30" hidden="false" customHeight="true" outlineLevel="0" collapsed="false">
      <c r="A1" s="8" t="s">
        <v>1696</v>
      </c>
      <c r="B1" s="8"/>
      <c r="C1" s="8"/>
      <c r="D1" s="8"/>
      <c r="E1" s="8"/>
    </row>
    <row r="2" customFormat="false" ht="18" hidden="false" customHeight="true" outlineLevel="0" collapsed="false">
      <c r="A2" s="9" t="s">
        <v>1697</v>
      </c>
      <c r="B2" s="9"/>
      <c r="C2" s="9"/>
      <c r="D2" s="9"/>
      <c r="E2" s="9"/>
    </row>
    <row r="4" customFormat="false" ht="27.75" hidden="false" customHeight="true" outlineLevel="0" collapsed="false">
      <c r="A4" s="10" t="s">
        <v>1698</v>
      </c>
      <c r="B4" s="10" t="s">
        <v>197</v>
      </c>
      <c r="C4" s="10" t="s">
        <v>1593</v>
      </c>
      <c r="D4" s="10" t="s">
        <v>1699</v>
      </c>
      <c r="E4" s="10" t="s">
        <v>496</v>
      </c>
    </row>
    <row r="5" customFormat="false" ht="15" hidden="false" customHeight="false" outlineLevel="0" collapsed="false">
      <c r="A5" s="11" t="s">
        <v>1700</v>
      </c>
      <c r="B5" s="11" t="s">
        <v>234</v>
      </c>
      <c r="C5" s="11" t="s">
        <v>1701</v>
      </c>
      <c r="D5" s="11" t="s">
        <v>237</v>
      </c>
      <c r="E5" s="11" t="s">
        <v>536</v>
      </c>
    </row>
    <row r="6" customFormat="false" ht="15" hidden="false" customHeight="false" outlineLevel="0" collapsed="false">
      <c r="A6" s="12" t="s">
        <v>1702</v>
      </c>
      <c r="B6" s="12" t="s">
        <v>234</v>
      </c>
      <c r="C6" s="12" t="s">
        <v>239</v>
      </c>
      <c r="D6" s="12" t="s">
        <v>241</v>
      </c>
      <c r="E6" s="12" t="s">
        <v>536</v>
      </c>
    </row>
    <row r="7" customFormat="false" ht="15" hidden="false" customHeight="false" outlineLevel="0" collapsed="false">
      <c r="A7" s="11" t="s">
        <v>1703</v>
      </c>
      <c r="B7" s="11" t="s">
        <v>234</v>
      </c>
      <c r="C7" s="11" t="s">
        <v>1704</v>
      </c>
      <c r="D7" s="11" t="s">
        <v>245</v>
      </c>
      <c r="E7" s="11" t="s">
        <v>536</v>
      </c>
    </row>
    <row r="8" customFormat="false" ht="15" hidden="false" customHeight="false" outlineLevel="0" collapsed="false">
      <c r="A8" s="12" t="s">
        <v>1705</v>
      </c>
      <c r="B8" s="12" t="s">
        <v>1706</v>
      </c>
      <c r="C8" s="12" t="s">
        <v>1707</v>
      </c>
      <c r="D8" s="12" t="s">
        <v>1708</v>
      </c>
      <c r="E8" s="12" t="s">
        <v>536</v>
      </c>
    </row>
    <row r="9" customFormat="false" ht="15" hidden="false" customHeight="false" outlineLevel="0" collapsed="false">
      <c r="A9" s="11" t="s">
        <v>1709</v>
      </c>
      <c r="B9" s="11" t="s">
        <v>247</v>
      </c>
      <c r="C9" s="11" t="s">
        <v>1710</v>
      </c>
      <c r="D9" s="11" t="s">
        <v>1711</v>
      </c>
      <c r="E9" s="11" t="s">
        <v>509</v>
      </c>
    </row>
    <row r="10" customFormat="false" ht="15" hidden="false" customHeight="false" outlineLevel="0" collapsed="false">
      <c r="A10" s="12" t="s">
        <v>1712</v>
      </c>
      <c r="B10" s="12" t="s">
        <v>1334</v>
      </c>
      <c r="C10" s="12" t="s">
        <v>1713</v>
      </c>
      <c r="D10" s="12" t="s">
        <v>1714</v>
      </c>
      <c r="E10" s="12" t="s">
        <v>536</v>
      </c>
    </row>
    <row r="11" customFormat="false" ht="15" hidden="false" customHeight="false" outlineLevel="0" collapsed="false">
      <c r="A11" s="11" t="s">
        <v>1715</v>
      </c>
      <c r="B11" s="11" t="s">
        <v>1296</v>
      </c>
      <c r="C11" s="11" t="s">
        <v>1716</v>
      </c>
      <c r="D11" s="11" t="s">
        <v>1717</v>
      </c>
      <c r="E11" s="11" t="s">
        <v>536</v>
      </c>
    </row>
    <row r="12" customFormat="false" ht="15" hidden="false" customHeight="false" outlineLevel="0" collapsed="false">
      <c r="A12" s="12" t="s">
        <v>1718</v>
      </c>
      <c r="B12" s="12" t="s">
        <v>1296</v>
      </c>
      <c r="C12" s="12" t="s">
        <v>1719</v>
      </c>
      <c r="D12" s="12" t="s">
        <v>1720</v>
      </c>
      <c r="E12" s="12" t="s">
        <v>536</v>
      </c>
    </row>
    <row r="13" customFormat="false" ht="15" hidden="false" customHeight="false" outlineLevel="0" collapsed="false">
      <c r="A13" s="11" t="s">
        <v>1721</v>
      </c>
      <c r="B13" s="11" t="s">
        <v>1301</v>
      </c>
      <c r="C13" s="11" t="s">
        <v>1722</v>
      </c>
      <c r="D13" s="11" t="s">
        <v>1723</v>
      </c>
      <c r="E13" s="11" t="s">
        <v>536</v>
      </c>
    </row>
    <row r="14" customFormat="false" ht="15" hidden="false" customHeight="false" outlineLevel="0" collapsed="false">
      <c r="A14" s="12" t="s">
        <v>1724</v>
      </c>
      <c r="B14" s="12" t="s">
        <v>1318</v>
      </c>
      <c r="C14" s="12" t="s">
        <v>1725</v>
      </c>
      <c r="D14" s="12" t="s">
        <v>1726</v>
      </c>
      <c r="E14" s="12" t="s">
        <v>552</v>
      </c>
    </row>
    <row r="15" customFormat="false" ht="15" hidden="false" customHeight="false" outlineLevel="0" collapsed="false">
      <c r="A15" s="11" t="s">
        <v>1727</v>
      </c>
      <c r="B15" s="11" t="s">
        <v>1325</v>
      </c>
      <c r="C15" s="11" t="s">
        <v>1728</v>
      </c>
      <c r="D15" s="11" t="s">
        <v>1729</v>
      </c>
      <c r="E15" s="11" t="s">
        <v>509</v>
      </c>
    </row>
    <row r="16" customFormat="false" ht="15" hidden="false" customHeight="false" outlineLevel="0" collapsed="false">
      <c r="A16" s="12" t="s">
        <v>1730</v>
      </c>
      <c r="B16" s="12" t="s">
        <v>1313</v>
      </c>
      <c r="C16" s="12" t="s">
        <v>1731</v>
      </c>
      <c r="D16" s="12" t="s">
        <v>1732</v>
      </c>
      <c r="E16" s="12" t="s">
        <v>552</v>
      </c>
    </row>
    <row r="17" customFormat="false" ht="15" hidden="false" customHeight="false" outlineLevel="0" collapsed="false">
      <c r="A17" s="11" t="s">
        <v>1733</v>
      </c>
      <c r="B17" s="11" t="s">
        <v>83</v>
      </c>
      <c r="C17" s="11" t="s">
        <v>1734</v>
      </c>
      <c r="D17" s="11" t="s">
        <v>1735</v>
      </c>
      <c r="E17" s="11" t="s">
        <v>536</v>
      </c>
    </row>
    <row r="18" customFormat="false" ht="15" hidden="false" customHeight="false" outlineLevel="0" collapsed="false">
      <c r="A18" s="12" t="s">
        <v>1736</v>
      </c>
      <c r="B18" s="12" t="s">
        <v>1737</v>
      </c>
      <c r="C18" s="12" t="s">
        <v>1738</v>
      </c>
      <c r="D18" s="12" t="s">
        <v>1739</v>
      </c>
      <c r="E18" s="12" t="s">
        <v>509</v>
      </c>
    </row>
    <row r="19" customFormat="false" ht="15" hidden="false" customHeight="false" outlineLevel="0" collapsed="false">
      <c r="A19" s="11" t="s">
        <v>1740</v>
      </c>
      <c r="B19" s="11" t="s">
        <v>1329</v>
      </c>
      <c r="C19" s="11" t="s">
        <v>1741</v>
      </c>
      <c r="D19" s="11" t="s">
        <v>1742</v>
      </c>
      <c r="E19" s="11" t="s">
        <v>552</v>
      </c>
    </row>
  </sheetData>
  <autoFilter ref="A4:E19"/>
  <mergeCells count="2">
    <mergeCell ref="A1:E1"/>
    <mergeCell ref="A2:E2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drawing r:id="rId1"/>
</worksheet>
</file>

<file path=xl/worksheets/sheet1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H16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4" topLeftCell="A5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customHeight="false" zeroHeight="false" outlineLevelRow="0" outlineLevelCol="0"/>
  <cols>
    <col collapsed="false" customWidth="true" hidden="false" outlineLevel="0" max="1" min="1" style="0" width="10"/>
    <col collapsed="false" customWidth="true" hidden="false" outlineLevel="0" max="2" min="2" style="0" width="16"/>
    <col collapsed="false" customWidth="true" hidden="false" outlineLevel="0" max="3" min="3" style="0" width="34"/>
    <col collapsed="false" customWidth="true" hidden="false" outlineLevel="0" max="4" min="4" style="0" width="28"/>
    <col collapsed="false" customWidth="true" hidden="false" outlineLevel="0" max="5" min="5" style="0" width="40"/>
    <col collapsed="false" customWidth="true" hidden="false" outlineLevel="0" max="6" min="6" style="0" width="10"/>
    <col collapsed="false" customWidth="true" hidden="false" outlineLevel="0" max="7" min="7" style="0" width="18"/>
    <col collapsed="false" customWidth="true" hidden="false" outlineLevel="0" max="8" min="8" style="0" width="14"/>
  </cols>
  <sheetData>
    <row r="1" customFormat="false" ht="30" hidden="false" customHeight="true" outlineLevel="0" collapsed="false">
      <c r="A1" s="8" t="s">
        <v>1743</v>
      </c>
      <c r="B1" s="8"/>
      <c r="C1" s="8"/>
      <c r="D1" s="8"/>
      <c r="E1" s="8"/>
      <c r="F1" s="8"/>
      <c r="G1" s="8"/>
      <c r="H1" s="8"/>
    </row>
    <row r="2" customFormat="false" ht="18" hidden="false" customHeight="true" outlineLevel="0" collapsed="false">
      <c r="A2" s="9" t="s">
        <v>1744</v>
      </c>
      <c r="B2" s="9"/>
      <c r="C2" s="9"/>
      <c r="D2" s="9"/>
      <c r="E2" s="9"/>
      <c r="F2" s="9"/>
      <c r="G2" s="9"/>
      <c r="H2" s="9"/>
    </row>
    <row r="4" customFormat="false" ht="27.75" hidden="false" customHeight="true" outlineLevel="0" collapsed="false">
      <c r="A4" s="10" t="s">
        <v>1745</v>
      </c>
      <c r="B4" s="10" t="s">
        <v>1746</v>
      </c>
      <c r="C4" s="10" t="s">
        <v>1747</v>
      </c>
      <c r="D4" s="10" t="s">
        <v>1748</v>
      </c>
      <c r="E4" s="10" t="s">
        <v>1749</v>
      </c>
      <c r="F4" s="10" t="s">
        <v>1750</v>
      </c>
      <c r="G4" s="10" t="s">
        <v>1751</v>
      </c>
      <c r="H4" s="10" t="s">
        <v>1752</v>
      </c>
    </row>
    <row r="5" customFormat="false" ht="23.85" hidden="false" customHeight="false" outlineLevel="0" collapsed="false">
      <c r="A5" s="11" t="s">
        <v>1753</v>
      </c>
      <c r="B5" s="11" t="s">
        <v>100</v>
      </c>
      <c r="C5" s="11" t="s">
        <v>1754</v>
      </c>
      <c r="D5" s="11" t="s">
        <v>1755</v>
      </c>
      <c r="E5" s="11" t="s">
        <v>1756</v>
      </c>
      <c r="F5" s="11"/>
      <c r="G5" s="11"/>
      <c r="H5" s="11"/>
    </row>
    <row r="6" customFormat="false" ht="15" hidden="false" customHeight="false" outlineLevel="0" collapsed="false">
      <c r="A6" s="12" t="s">
        <v>1757</v>
      </c>
      <c r="B6" s="12" t="s">
        <v>100</v>
      </c>
      <c r="C6" s="12" t="s">
        <v>1758</v>
      </c>
      <c r="D6" s="12" t="s">
        <v>1759</v>
      </c>
      <c r="E6" s="12" t="s">
        <v>1760</v>
      </c>
      <c r="F6" s="12"/>
      <c r="G6" s="12"/>
      <c r="H6" s="12"/>
    </row>
    <row r="7" customFormat="false" ht="15" hidden="false" customHeight="false" outlineLevel="0" collapsed="false">
      <c r="A7" s="11" t="s">
        <v>1761</v>
      </c>
      <c r="B7" s="11" t="s">
        <v>100</v>
      </c>
      <c r="C7" s="11" t="s">
        <v>1762</v>
      </c>
      <c r="D7" s="11" t="s">
        <v>1763</v>
      </c>
      <c r="E7" s="11" t="s">
        <v>1764</v>
      </c>
      <c r="F7" s="11"/>
      <c r="G7" s="11"/>
      <c r="H7" s="11"/>
    </row>
    <row r="8" customFormat="false" ht="15" hidden="false" customHeight="false" outlineLevel="0" collapsed="false">
      <c r="A8" s="12" t="s">
        <v>1765</v>
      </c>
      <c r="B8" s="12" t="s">
        <v>126</v>
      </c>
      <c r="C8" s="12" t="s">
        <v>1766</v>
      </c>
      <c r="D8" s="12" t="s">
        <v>1767</v>
      </c>
      <c r="E8" s="12" t="s">
        <v>1768</v>
      </c>
      <c r="F8" s="12"/>
      <c r="G8" s="12"/>
      <c r="H8" s="12"/>
    </row>
    <row r="9" customFormat="false" ht="15" hidden="false" customHeight="false" outlineLevel="0" collapsed="false">
      <c r="A9" s="11" t="s">
        <v>1769</v>
      </c>
      <c r="B9" s="11" t="s">
        <v>126</v>
      </c>
      <c r="C9" s="11" t="s">
        <v>1770</v>
      </c>
      <c r="D9" s="11" t="s">
        <v>1771</v>
      </c>
      <c r="E9" s="11" t="s">
        <v>1772</v>
      </c>
      <c r="F9" s="11"/>
      <c r="G9" s="11"/>
      <c r="H9" s="11"/>
    </row>
    <row r="10" customFormat="false" ht="15" hidden="false" customHeight="false" outlineLevel="0" collapsed="false">
      <c r="A10" s="12" t="s">
        <v>1773</v>
      </c>
      <c r="B10" s="12" t="s">
        <v>142</v>
      </c>
      <c r="C10" s="12" t="s">
        <v>1774</v>
      </c>
      <c r="D10" s="12" t="s">
        <v>1775</v>
      </c>
      <c r="E10" s="12" t="s">
        <v>1776</v>
      </c>
      <c r="F10" s="12"/>
      <c r="G10" s="12"/>
      <c r="H10" s="12"/>
    </row>
    <row r="11" customFormat="false" ht="15" hidden="false" customHeight="false" outlineLevel="0" collapsed="false">
      <c r="A11" s="11" t="s">
        <v>1777</v>
      </c>
      <c r="B11" s="11" t="s">
        <v>148</v>
      </c>
      <c r="C11" s="11" t="s">
        <v>1778</v>
      </c>
      <c r="D11" s="11" t="s">
        <v>1779</v>
      </c>
      <c r="E11" s="11" t="s">
        <v>1780</v>
      </c>
      <c r="F11" s="11"/>
      <c r="G11" s="11"/>
      <c r="H11" s="11"/>
    </row>
    <row r="12" customFormat="false" ht="15" hidden="false" customHeight="false" outlineLevel="0" collapsed="false">
      <c r="A12" s="12" t="s">
        <v>1781</v>
      </c>
      <c r="B12" s="12" t="s">
        <v>148</v>
      </c>
      <c r="C12" s="12" t="s">
        <v>1782</v>
      </c>
      <c r="D12" s="12" t="s">
        <v>1783</v>
      </c>
      <c r="E12" s="12" t="s">
        <v>1784</v>
      </c>
      <c r="F12" s="12"/>
      <c r="G12" s="12"/>
      <c r="H12" s="12"/>
    </row>
    <row r="13" customFormat="false" ht="15" hidden="false" customHeight="false" outlineLevel="0" collapsed="false">
      <c r="A13" s="11" t="s">
        <v>1785</v>
      </c>
      <c r="B13" s="11" t="s">
        <v>164</v>
      </c>
      <c r="C13" s="11" t="s">
        <v>1786</v>
      </c>
      <c r="D13" s="11" t="s">
        <v>1787</v>
      </c>
      <c r="E13" s="11" t="s">
        <v>1788</v>
      </c>
      <c r="F13" s="11"/>
      <c r="G13" s="11"/>
      <c r="H13" s="11"/>
    </row>
    <row r="14" customFormat="false" ht="15" hidden="false" customHeight="false" outlineLevel="0" collapsed="false">
      <c r="A14" s="12" t="s">
        <v>1789</v>
      </c>
      <c r="B14" s="12" t="s">
        <v>164</v>
      </c>
      <c r="C14" s="12" t="s">
        <v>1790</v>
      </c>
      <c r="D14" s="12" t="s">
        <v>1791</v>
      </c>
      <c r="E14" s="12" t="s">
        <v>1792</v>
      </c>
      <c r="F14" s="12"/>
      <c r="G14" s="12"/>
      <c r="H14" s="12"/>
    </row>
    <row r="15" customFormat="false" ht="15" hidden="false" customHeight="false" outlineLevel="0" collapsed="false">
      <c r="A15" s="11" t="s">
        <v>1793</v>
      </c>
      <c r="B15" s="11" t="s">
        <v>164</v>
      </c>
      <c r="C15" s="11" t="s">
        <v>1794</v>
      </c>
      <c r="D15" s="11" t="s">
        <v>1795</v>
      </c>
      <c r="E15" s="11" t="s">
        <v>1796</v>
      </c>
      <c r="F15" s="11"/>
      <c r="G15" s="11"/>
      <c r="H15" s="11"/>
    </row>
    <row r="16" customFormat="false" ht="15" hidden="false" customHeight="false" outlineLevel="0" collapsed="false">
      <c r="A16" s="12" t="s">
        <v>1797</v>
      </c>
      <c r="B16" s="12" t="s">
        <v>1798</v>
      </c>
      <c r="C16" s="12" t="s">
        <v>1799</v>
      </c>
      <c r="D16" s="12" t="s">
        <v>1800</v>
      </c>
      <c r="E16" s="12" t="s">
        <v>1801</v>
      </c>
      <c r="F16" s="12"/>
      <c r="G16" s="12"/>
      <c r="H16" s="12"/>
    </row>
  </sheetData>
  <autoFilter ref="A4:H16"/>
  <mergeCells count="2">
    <mergeCell ref="A1:H1"/>
    <mergeCell ref="A2:H2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drawing r:id="rId1"/>
</worksheet>
</file>

<file path=xl/worksheets/sheet1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F25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4" topLeftCell="A5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customHeight="false" zeroHeight="false" outlineLevelRow="0" outlineLevelCol="0"/>
  <cols>
    <col collapsed="false" customWidth="true" hidden="false" outlineLevel="0" max="1" min="1" style="0" width="12"/>
    <col collapsed="false" customWidth="true" hidden="false" outlineLevel="0" max="2" min="2" style="0" width="34"/>
    <col collapsed="false" customWidth="true" hidden="false" outlineLevel="0" max="3" min="3" style="0" width="30"/>
    <col collapsed="false" customWidth="true" hidden="false" outlineLevel="0" max="4" min="4" style="0" width="22"/>
    <col collapsed="false" customWidth="true" hidden="false" outlineLevel="0" max="5" min="5" style="0" width="28"/>
    <col collapsed="false" customWidth="true" hidden="false" outlineLevel="0" max="6" min="6" style="0" width="10"/>
  </cols>
  <sheetData>
    <row r="1" customFormat="false" ht="30" hidden="false" customHeight="true" outlineLevel="0" collapsed="false">
      <c r="A1" s="8" t="s">
        <v>1802</v>
      </c>
      <c r="B1" s="8"/>
      <c r="C1" s="8"/>
      <c r="D1" s="8"/>
      <c r="E1" s="8"/>
      <c r="F1" s="8"/>
    </row>
    <row r="2" customFormat="false" ht="18" hidden="false" customHeight="true" outlineLevel="0" collapsed="false">
      <c r="A2" s="9" t="s">
        <v>1803</v>
      </c>
      <c r="B2" s="9"/>
      <c r="C2" s="9"/>
      <c r="D2" s="9"/>
      <c r="E2" s="9"/>
      <c r="F2" s="9"/>
    </row>
    <row r="4" customFormat="false" ht="27.75" hidden="false" customHeight="true" outlineLevel="0" collapsed="false">
      <c r="A4" s="10" t="s">
        <v>1804</v>
      </c>
      <c r="B4" s="10" t="s">
        <v>1805</v>
      </c>
      <c r="C4" s="10" t="s">
        <v>1806</v>
      </c>
      <c r="D4" s="10" t="s">
        <v>1807</v>
      </c>
      <c r="E4" s="10" t="s">
        <v>1808</v>
      </c>
      <c r="F4" s="10" t="s">
        <v>1809</v>
      </c>
    </row>
    <row r="5" customFormat="false" ht="23.85" hidden="false" customHeight="false" outlineLevel="0" collapsed="false">
      <c r="A5" s="11" t="s">
        <v>99</v>
      </c>
      <c r="B5" s="11" t="s">
        <v>101</v>
      </c>
      <c r="C5" s="11" t="s">
        <v>1810</v>
      </c>
      <c r="D5" s="11" t="s">
        <v>1811</v>
      </c>
      <c r="E5" s="11" t="s">
        <v>1812</v>
      </c>
      <c r="F5" s="11" t="s">
        <v>515</v>
      </c>
    </row>
    <row r="6" customFormat="false" ht="15" hidden="false" customHeight="false" outlineLevel="0" collapsed="false">
      <c r="A6" s="12" t="s">
        <v>105</v>
      </c>
      <c r="B6" s="12" t="s">
        <v>106</v>
      </c>
      <c r="C6" s="12" t="s">
        <v>1813</v>
      </c>
      <c r="D6" s="12" t="s">
        <v>1814</v>
      </c>
      <c r="E6" s="12" t="s">
        <v>508</v>
      </c>
      <c r="F6" s="12" t="s">
        <v>515</v>
      </c>
    </row>
    <row r="7" customFormat="false" ht="15" hidden="false" customHeight="false" outlineLevel="0" collapsed="false">
      <c r="A7" s="11" t="s">
        <v>110</v>
      </c>
      <c r="B7" s="11" t="s">
        <v>1815</v>
      </c>
      <c r="C7" s="11" t="s">
        <v>1816</v>
      </c>
      <c r="D7" s="11" t="s">
        <v>1360</v>
      </c>
      <c r="E7" s="11" t="s">
        <v>1817</v>
      </c>
      <c r="F7" s="11" t="s">
        <v>515</v>
      </c>
    </row>
    <row r="8" customFormat="false" ht="15" hidden="false" customHeight="false" outlineLevel="0" collapsed="false">
      <c r="A8" s="12" t="s">
        <v>115</v>
      </c>
      <c r="B8" s="12" t="s">
        <v>1818</v>
      </c>
      <c r="C8" s="12" t="s">
        <v>1819</v>
      </c>
      <c r="D8" s="12" t="s">
        <v>1820</v>
      </c>
      <c r="E8" s="12" t="s">
        <v>1821</v>
      </c>
      <c r="F8" s="12" t="s">
        <v>515</v>
      </c>
    </row>
    <row r="9" customFormat="false" ht="15" hidden="false" customHeight="false" outlineLevel="0" collapsed="false">
      <c r="A9" s="11" t="s">
        <v>120</v>
      </c>
      <c r="B9" s="11" t="s">
        <v>822</v>
      </c>
      <c r="C9" s="11" t="s">
        <v>429</v>
      </c>
      <c r="D9" s="11" t="s">
        <v>1822</v>
      </c>
      <c r="E9" s="11" t="s">
        <v>1817</v>
      </c>
      <c r="F9" s="11" t="s">
        <v>515</v>
      </c>
    </row>
    <row r="10" customFormat="false" ht="23.85" hidden="false" customHeight="false" outlineLevel="0" collapsed="false">
      <c r="A10" s="12" t="s">
        <v>125</v>
      </c>
      <c r="B10" s="12" t="s">
        <v>127</v>
      </c>
      <c r="C10" s="12" t="s">
        <v>1823</v>
      </c>
      <c r="D10" s="12" t="s">
        <v>1377</v>
      </c>
      <c r="E10" s="12" t="s">
        <v>508</v>
      </c>
      <c r="F10" s="12" t="s">
        <v>515</v>
      </c>
    </row>
    <row r="11" customFormat="false" ht="15" hidden="false" customHeight="false" outlineLevel="0" collapsed="false">
      <c r="A11" s="11" t="s">
        <v>131</v>
      </c>
      <c r="B11" s="11" t="s">
        <v>132</v>
      </c>
      <c r="C11" s="11" t="s">
        <v>1824</v>
      </c>
      <c r="D11" s="11" t="s">
        <v>1825</v>
      </c>
      <c r="E11" s="11" t="s">
        <v>508</v>
      </c>
      <c r="F11" s="11" t="s">
        <v>515</v>
      </c>
    </row>
    <row r="12" customFormat="false" ht="15" hidden="false" customHeight="false" outlineLevel="0" collapsed="false">
      <c r="A12" s="12" t="s">
        <v>136</v>
      </c>
      <c r="B12" s="12" t="s">
        <v>137</v>
      </c>
      <c r="C12" s="12" t="s">
        <v>462</v>
      </c>
      <c r="D12" s="12" t="s">
        <v>1377</v>
      </c>
      <c r="E12" s="12" t="s">
        <v>1821</v>
      </c>
      <c r="F12" s="12" t="s">
        <v>515</v>
      </c>
    </row>
    <row r="13" customFormat="false" ht="15" hidden="false" customHeight="false" outlineLevel="0" collapsed="false">
      <c r="A13" s="11" t="s">
        <v>141</v>
      </c>
      <c r="B13" s="11" t="s">
        <v>1826</v>
      </c>
      <c r="C13" s="11" t="s">
        <v>432</v>
      </c>
      <c r="D13" s="11" t="s">
        <v>1370</v>
      </c>
      <c r="E13" s="11" t="s">
        <v>508</v>
      </c>
      <c r="F13" s="11" t="s">
        <v>515</v>
      </c>
    </row>
    <row r="14" customFormat="false" ht="15" hidden="false" customHeight="false" outlineLevel="0" collapsed="false">
      <c r="A14" s="12" t="s">
        <v>147</v>
      </c>
      <c r="B14" s="12" t="s">
        <v>1827</v>
      </c>
      <c r="C14" s="12" t="s">
        <v>1828</v>
      </c>
      <c r="D14" s="12" t="s">
        <v>1374</v>
      </c>
      <c r="E14" s="12" t="s">
        <v>1817</v>
      </c>
      <c r="F14" s="12" t="s">
        <v>515</v>
      </c>
    </row>
    <row r="15" customFormat="false" ht="15" hidden="false" customHeight="false" outlineLevel="0" collapsed="false">
      <c r="A15" s="11" t="s">
        <v>153</v>
      </c>
      <c r="B15" s="11" t="s">
        <v>1829</v>
      </c>
      <c r="C15" s="11" t="s">
        <v>440</v>
      </c>
      <c r="D15" s="11" t="s">
        <v>1830</v>
      </c>
      <c r="E15" s="11" t="s">
        <v>508</v>
      </c>
      <c r="F15" s="11" t="s">
        <v>515</v>
      </c>
    </row>
    <row r="16" customFormat="false" ht="15" hidden="false" customHeight="false" outlineLevel="0" collapsed="false">
      <c r="A16" s="12" t="s">
        <v>158</v>
      </c>
      <c r="B16" s="12" t="s">
        <v>1831</v>
      </c>
      <c r="C16" s="12" t="s">
        <v>449</v>
      </c>
      <c r="D16" s="12" t="s">
        <v>1374</v>
      </c>
      <c r="E16" s="12" t="s">
        <v>508</v>
      </c>
      <c r="F16" s="12" t="s">
        <v>515</v>
      </c>
    </row>
    <row r="17" customFormat="false" ht="15" hidden="false" customHeight="false" outlineLevel="0" collapsed="false">
      <c r="A17" s="11" t="s">
        <v>163</v>
      </c>
      <c r="B17" s="11" t="s">
        <v>165</v>
      </c>
      <c r="C17" s="11" t="s">
        <v>1832</v>
      </c>
      <c r="D17" s="11" t="s">
        <v>1833</v>
      </c>
      <c r="E17" s="11" t="s">
        <v>1834</v>
      </c>
      <c r="F17" s="11" t="s">
        <v>515</v>
      </c>
    </row>
    <row r="18" customFormat="false" ht="15" hidden="false" customHeight="false" outlineLevel="0" collapsed="false">
      <c r="A18" s="12" t="s">
        <v>169</v>
      </c>
      <c r="B18" s="12" t="s">
        <v>1835</v>
      </c>
      <c r="C18" s="12" t="s">
        <v>469</v>
      </c>
      <c r="D18" s="12" t="s">
        <v>1836</v>
      </c>
      <c r="E18" s="12" t="s">
        <v>1817</v>
      </c>
      <c r="F18" s="12" t="s">
        <v>515</v>
      </c>
    </row>
    <row r="19" customFormat="false" ht="15" hidden="false" customHeight="false" outlineLevel="0" collapsed="false">
      <c r="A19" s="11" t="s">
        <v>174</v>
      </c>
      <c r="B19" s="11" t="s">
        <v>474</v>
      </c>
      <c r="C19" s="11" t="s">
        <v>1837</v>
      </c>
      <c r="D19" s="11" t="s">
        <v>1838</v>
      </c>
      <c r="E19" s="11" t="s">
        <v>1817</v>
      </c>
      <c r="F19" s="11" t="s">
        <v>515</v>
      </c>
    </row>
    <row r="20" customFormat="false" ht="15" hidden="false" customHeight="false" outlineLevel="0" collapsed="false">
      <c r="A20" s="12" t="s">
        <v>179</v>
      </c>
      <c r="B20" s="12" t="s">
        <v>180</v>
      </c>
      <c r="C20" s="12" t="s">
        <v>475</v>
      </c>
      <c r="D20" s="12" t="s">
        <v>1381</v>
      </c>
      <c r="E20" s="12" t="s">
        <v>1821</v>
      </c>
      <c r="F20" s="12" t="s">
        <v>515</v>
      </c>
    </row>
    <row r="21" customFormat="false" ht="15" hidden="false" customHeight="false" outlineLevel="0" collapsed="false">
      <c r="A21" s="11" t="s">
        <v>184</v>
      </c>
      <c r="B21" s="11" t="s">
        <v>189</v>
      </c>
      <c r="C21" s="11" t="s">
        <v>478</v>
      </c>
      <c r="D21" s="11" t="s">
        <v>1384</v>
      </c>
      <c r="E21" s="11" t="s">
        <v>508</v>
      </c>
      <c r="F21" s="11" t="s">
        <v>515</v>
      </c>
    </row>
    <row r="22" customFormat="false" ht="15" hidden="false" customHeight="false" outlineLevel="0" collapsed="false">
      <c r="A22" s="12" t="s">
        <v>190</v>
      </c>
      <c r="B22" s="12" t="s">
        <v>89</v>
      </c>
      <c r="C22" s="12" t="s">
        <v>475</v>
      </c>
      <c r="D22" s="12" t="s">
        <v>1381</v>
      </c>
      <c r="E22" s="12" t="s">
        <v>1817</v>
      </c>
      <c r="F22" s="12" t="s">
        <v>515</v>
      </c>
    </row>
    <row r="23" customFormat="false" ht="15" hidden="false" customHeight="false" outlineLevel="0" collapsed="false">
      <c r="A23" s="11" t="s">
        <v>1839</v>
      </c>
      <c r="B23" s="11" t="s">
        <v>1427</v>
      </c>
      <c r="C23" s="11" t="s">
        <v>486</v>
      </c>
      <c r="D23" s="11" t="s">
        <v>1840</v>
      </c>
      <c r="E23" s="11" t="s">
        <v>1841</v>
      </c>
      <c r="F23" s="11" t="s">
        <v>515</v>
      </c>
    </row>
    <row r="24" customFormat="false" ht="15" hidden="false" customHeight="false" outlineLevel="0" collapsed="false">
      <c r="A24" s="12" t="s">
        <v>1842</v>
      </c>
      <c r="B24" s="12" t="s">
        <v>256</v>
      </c>
      <c r="C24" s="12" t="s">
        <v>481</v>
      </c>
      <c r="D24" s="12" t="s">
        <v>1843</v>
      </c>
      <c r="E24" s="12" t="s">
        <v>256</v>
      </c>
      <c r="F24" s="12" t="s">
        <v>515</v>
      </c>
    </row>
    <row r="25" customFormat="false" ht="15" hidden="false" customHeight="false" outlineLevel="0" collapsed="false">
      <c r="A25" s="11" t="s">
        <v>1844</v>
      </c>
      <c r="B25" s="11" t="s">
        <v>1845</v>
      </c>
      <c r="C25" s="11" t="s">
        <v>483</v>
      </c>
      <c r="D25" s="11" t="s">
        <v>1846</v>
      </c>
      <c r="E25" s="11" t="s">
        <v>39</v>
      </c>
      <c r="F25" s="11" t="s">
        <v>515</v>
      </c>
    </row>
  </sheetData>
  <autoFilter ref="A4:F25"/>
  <mergeCells count="2">
    <mergeCell ref="A1:F1"/>
    <mergeCell ref="A2:F2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drawing r:id="rId1"/>
</worksheet>
</file>

<file path=xl/worksheets/sheet1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L8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4" topLeftCell="A5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customHeight="false" zeroHeight="false" outlineLevelRow="0" outlineLevelCol="0"/>
  <cols>
    <col collapsed="false" customWidth="true" hidden="false" outlineLevel="0" max="1" min="1" style="0" width="10"/>
    <col collapsed="false" customWidth="true" hidden="false" outlineLevel="0" max="2" min="2" style="0" width="11"/>
    <col collapsed="false" customWidth="true" hidden="false" outlineLevel="0" max="3" min="3" style="0" width="16"/>
    <col collapsed="false" customWidth="true" hidden="false" outlineLevel="0" max="4" min="4" style="0" width="12"/>
    <col collapsed="false" customWidth="true" hidden="false" outlineLevel="0" max="6" min="5" style="0" width="34"/>
    <col collapsed="false" customWidth="true" hidden="false" outlineLevel="0" max="7" min="7" style="0" width="11"/>
    <col collapsed="false" customWidth="true" hidden="false" outlineLevel="0" max="8" min="8" style="0" width="8"/>
    <col collapsed="false" customWidth="true" hidden="false" outlineLevel="0" max="9" min="9" style="0" width="12"/>
    <col collapsed="false" customWidth="true" hidden="false" outlineLevel="0" max="10" min="10" style="0" width="10"/>
    <col collapsed="false" customWidth="true" hidden="false" outlineLevel="0" max="11" min="11" style="0" width="14"/>
    <col collapsed="false" customWidth="true" hidden="false" outlineLevel="0" max="12" min="12" style="0" width="34"/>
  </cols>
  <sheetData>
    <row r="1" customFormat="false" ht="30" hidden="false" customHeight="true" outlineLevel="0" collapsed="false">
      <c r="A1" s="8" t="s">
        <v>1847</v>
      </c>
      <c r="B1" s="8"/>
      <c r="C1" s="8"/>
      <c r="D1" s="8"/>
      <c r="E1" s="8"/>
      <c r="F1" s="8"/>
      <c r="G1" s="8"/>
      <c r="H1" s="8"/>
      <c r="I1" s="8"/>
      <c r="J1" s="8"/>
      <c r="K1" s="8"/>
      <c r="L1" s="8"/>
    </row>
    <row r="2" customFormat="false" ht="18" hidden="false" customHeight="true" outlineLevel="0" collapsed="false">
      <c r="A2" s="9" t="s">
        <v>1848</v>
      </c>
      <c r="B2" s="9"/>
      <c r="C2" s="9"/>
      <c r="D2" s="9"/>
      <c r="E2" s="9"/>
      <c r="F2" s="9"/>
      <c r="G2" s="9"/>
      <c r="H2" s="9"/>
      <c r="I2" s="9"/>
      <c r="J2" s="9"/>
      <c r="K2" s="9"/>
      <c r="L2" s="9"/>
    </row>
    <row r="4" customFormat="false" ht="27.75" hidden="false" customHeight="true" outlineLevel="0" collapsed="false">
      <c r="A4" s="10" t="s">
        <v>1849</v>
      </c>
      <c r="B4" s="10" t="s">
        <v>1850</v>
      </c>
      <c r="C4" s="10" t="s">
        <v>389</v>
      </c>
      <c r="D4" s="10" t="s">
        <v>1851</v>
      </c>
      <c r="E4" s="10" t="s">
        <v>1852</v>
      </c>
      <c r="F4" s="10" t="s">
        <v>1853</v>
      </c>
      <c r="G4" s="10" t="s">
        <v>1854</v>
      </c>
      <c r="H4" s="10" t="s">
        <v>496</v>
      </c>
      <c r="I4" s="10" t="s">
        <v>1855</v>
      </c>
      <c r="J4" s="10" t="s">
        <v>503</v>
      </c>
      <c r="K4" s="10" t="s">
        <v>1856</v>
      </c>
      <c r="L4" s="10" t="s">
        <v>1857</v>
      </c>
    </row>
    <row r="5" customFormat="false" ht="15" hidden="false" customHeight="false" outlineLevel="0" collapsed="false">
      <c r="A5" s="11" t="s">
        <v>1858</v>
      </c>
      <c r="B5" s="11"/>
      <c r="C5" s="11" t="s">
        <v>1859</v>
      </c>
      <c r="D5" s="11" t="s">
        <v>1860</v>
      </c>
      <c r="E5" s="11" t="s">
        <v>1861</v>
      </c>
      <c r="F5" s="11" t="s">
        <v>1862</v>
      </c>
      <c r="G5" s="11" t="s">
        <v>1863</v>
      </c>
      <c r="H5" s="11" t="s">
        <v>509</v>
      </c>
      <c r="I5" s="11" t="s">
        <v>1286</v>
      </c>
      <c r="J5" s="11" t="s">
        <v>1864</v>
      </c>
      <c r="K5" s="11"/>
      <c r="L5" s="11"/>
    </row>
    <row r="8" customFormat="false" ht="15" hidden="false" customHeight="false" outlineLevel="0" collapsed="false">
      <c r="A8" s="16" t="s">
        <v>1865</v>
      </c>
      <c r="B8" s="16"/>
      <c r="C8" s="16"/>
      <c r="D8" s="16"/>
      <c r="E8" s="16"/>
      <c r="F8" s="16"/>
      <c r="G8" s="16"/>
      <c r="H8" s="16"/>
      <c r="I8" s="16"/>
      <c r="J8" s="16"/>
      <c r="K8" s="16"/>
      <c r="L8" s="16"/>
    </row>
  </sheetData>
  <autoFilter ref="A4:L5"/>
  <mergeCells count="3">
    <mergeCell ref="A1:L1"/>
    <mergeCell ref="A2:L2"/>
    <mergeCell ref="A8:L8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drawing r:id="rId1"/>
</worksheet>
</file>

<file path=xl/worksheets/sheet20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C17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4" topLeftCell="A5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customHeight="false" zeroHeight="false" outlineLevelRow="0" outlineLevelCol="0"/>
  <cols>
    <col collapsed="false" customWidth="true" hidden="false" outlineLevel="0" max="1" min="1" style="0" width="22"/>
    <col collapsed="false" customWidth="true" hidden="false" outlineLevel="0" max="2" min="2" style="0" width="52"/>
    <col collapsed="false" customWidth="true" hidden="false" outlineLevel="0" max="3" min="3" style="0" width="40"/>
  </cols>
  <sheetData>
    <row r="1" customFormat="false" ht="30" hidden="false" customHeight="true" outlineLevel="0" collapsed="false">
      <c r="A1" s="8" t="s">
        <v>1866</v>
      </c>
      <c r="B1" s="8"/>
      <c r="C1" s="8"/>
    </row>
    <row r="2" customFormat="false" ht="18" hidden="false" customHeight="true" outlineLevel="0" collapsed="false">
      <c r="A2" s="9" t="s">
        <v>1867</v>
      </c>
      <c r="B2" s="9"/>
      <c r="C2" s="9"/>
    </row>
    <row r="4" customFormat="false" ht="27.75" hidden="false" customHeight="true" outlineLevel="0" collapsed="false">
      <c r="A4" s="10" t="s">
        <v>1868</v>
      </c>
      <c r="B4" s="10" t="s">
        <v>1869</v>
      </c>
      <c r="C4" s="10" t="s">
        <v>1870</v>
      </c>
    </row>
    <row r="5" customFormat="false" ht="15" hidden="false" customHeight="false" outlineLevel="0" collapsed="false">
      <c r="A5" s="11" t="s">
        <v>12</v>
      </c>
      <c r="B5" s="11" t="s">
        <v>1871</v>
      </c>
      <c r="C5" s="11" t="s">
        <v>1872</v>
      </c>
    </row>
    <row r="6" customFormat="false" ht="15" hidden="false" customHeight="false" outlineLevel="0" collapsed="false">
      <c r="A6" s="12" t="s">
        <v>1873</v>
      </c>
      <c r="B6" s="12" t="s">
        <v>1874</v>
      </c>
      <c r="C6" s="12" t="s">
        <v>1875</v>
      </c>
    </row>
    <row r="7" customFormat="false" ht="15" hidden="false" customHeight="false" outlineLevel="0" collapsed="false">
      <c r="A7" s="11" t="s">
        <v>1371</v>
      </c>
      <c r="B7" s="11" t="s">
        <v>1876</v>
      </c>
      <c r="C7" s="11" t="s">
        <v>1877</v>
      </c>
    </row>
    <row r="8" customFormat="false" ht="15" hidden="false" customHeight="false" outlineLevel="0" collapsed="false">
      <c r="A8" s="12" t="s">
        <v>39</v>
      </c>
      <c r="B8" s="12" t="s">
        <v>1878</v>
      </c>
      <c r="C8" s="12" t="s">
        <v>1879</v>
      </c>
    </row>
    <row r="9" customFormat="false" ht="15" hidden="false" customHeight="false" outlineLevel="0" collapsed="false">
      <c r="A9" s="11" t="s">
        <v>1880</v>
      </c>
      <c r="B9" s="11" t="s">
        <v>1881</v>
      </c>
      <c r="C9" s="11" t="s">
        <v>1882</v>
      </c>
    </row>
    <row r="10" customFormat="false" ht="15" hidden="false" customHeight="false" outlineLevel="0" collapsed="false">
      <c r="A10" s="12" t="s">
        <v>1883</v>
      </c>
      <c r="B10" s="12" t="s">
        <v>1884</v>
      </c>
      <c r="C10" s="12" t="s">
        <v>1885</v>
      </c>
    </row>
    <row r="11" customFormat="false" ht="15" hidden="false" customHeight="false" outlineLevel="0" collapsed="false">
      <c r="A11" s="11" t="s">
        <v>1886</v>
      </c>
      <c r="B11" s="11" t="s">
        <v>1887</v>
      </c>
      <c r="C11" s="11" t="s">
        <v>1888</v>
      </c>
    </row>
    <row r="12" customFormat="false" ht="23.85" hidden="false" customHeight="false" outlineLevel="0" collapsed="false">
      <c r="A12" s="12" t="s">
        <v>1889</v>
      </c>
      <c r="B12" s="12" t="s">
        <v>1890</v>
      </c>
      <c r="C12" s="12" t="s">
        <v>1891</v>
      </c>
    </row>
    <row r="13" customFormat="false" ht="23.85" hidden="false" customHeight="false" outlineLevel="0" collapsed="false">
      <c r="A13" s="11" t="s">
        <v>1892</v>
      </c>
      <c r="B13" s="11" t="s">
        <v>1893</v>
      </c>
      <c r="C13" s="11" t="s">
        <v>1894</v>
      </c>
    </row>
    <row r="14" customFormat="false" ht="15" hidden="false" customHeight="false" outlineLevel="0" collapsed="false">
      <c r="A14" s="12" t="s">
        <v>55</v>
      </c>
      <c r="B14" s="12" t="s">
        <v>1895</v>
      </c>
      <c r="C14" s="12" t="s">
        <v>1896</v>
      </c>
    </row>
    <row r="15" customFormat="false" ht="23.85" hidden="false" customHeight="false" outlineLevel="0" collapsed="false">
      <c r="A15" s="11" t="s">
        <v>1897</v>
      </c>
      <c r="B15" s="11" t="s">
        <v>1898</v>
      </c>
      <c r="C15" s="11" t="s">
        <v>1899</v>
      </c>
    </row>
    <row r="16" customFormat="false" ht="15" hidden="false" customHeight="false" outlineLevel="0" collapsed="false">
      <c r="A16" s="12" t="s">
        <v>1900</v>
      </c>
      <c r="B16" s="12" t="s">
        <v>1901</v>
      </c>
      <c r="C16" s="12" t="s">
        <v>1902</v>
      </c>
    </row>
    <row r="17" customFormat="false" ht="23.85" hidden="false" customHeight="false" outlineLevel="0" collapsed="false">
      <c r="A17" s="11" t="s">
        <v>1903</v>
      </c>
      <c r="B17" s="11" t="s">
        <v>1904</v>
      </c>
      <c r="C17" s="11" t="s">
        <v>1905</v>
      </c>
    </row>
  </sheetData>
  <autoFilter ref="A4:C17"/>
  <mergeCells count="2">
    <mergeCell ref="A1:C1"/>
    <mergeCell ref="A2:C2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drawing r:id="rId1"/>
</worksheet>
</file>

<file path=xl/worksheets/sheet2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C12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4" topLeftCell="A5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customHeight="false" zeroHeight="false" outlineLevelRow="0" outlineLevelCol="0"/>
  <cols>
    <col collapsed="false" customWidth="true" hidden="false" outlineLevel="0" max="1" min="1" style="0" width="18"/>
    <col collapsed="false" customWidth="true" hidden="false" outlineLevel="0" max="3" min="2" style="0" width="46"/>
  </cols>
  <sheetData>
    <row r="1" customFormat="false" ht="30" hidden="false" customHeight="true" outlineLevel="0" collapsed="false">
      <c r="A1" s="8" t="s">
        <v>1906</v>
      </c>
      <c r="B1" s="8"/>
      <c r="C1" s="8"/>
    </row>
    <row r="2" customFormat="false" ht="18" hidden="false" customHeight="true" outlineLevel="0" collapsed="false">
      <c r="A2" s="9" t="s">
        <v>1907</v>
      </c>
      <c r="B2" s="9"/>
      <c r="C2" s="9"/>
    </row>
    <row r="4" customFormat="false" ht="27.75" hidden="false" customHeight="true" outlineLevel="0" collapsed="false">
      <c r="A4" s="10" t="s">
        <v>1908</v>
      </c>
      <c r="B4" s="10" t="s">
        <v>378</v>
      </c>
      <c r="C4" s="10" t="s">
        <v>383</v>
      </c>
    </row>
    <row r="5" customFormat="false" ht="15" hidden="false" customHeight="false" outlineLevel="0" collapsed="false">
      <c r="A5" s="11" t="s">
        <v>1345</v>
      </c>
      <c r="B5" s="11" t="s">
        <v>1909</v>
      </c>
      <c r="C5" s="11" t="s">
        <v>1910</v>
      </c>
    </row>
    <row r="6" customFormat="false" ht="15" hidden="false" customHeight="false" outlineLevel="0" collapsed="false">
      <c r="A6" s="12" t="s">
        <v>1911</v>
      </c>
      <c r="B6" s="12" t="s">
        <v>1912</v>
      </c>
      <c r="C6" s="12" t="s">
        <v>1913</v>
      </c>
    </row>
    <row r="7" customFormat="false" ht="15" hidden="false" customHeight="false" outlineLevel="0" collapsed="false">
      <c r="A7" s="11" t="s">
        <v>532</v>
      </c>
      <c r="B7" s="11" t="s">
        <v>1914</v>
      </c>
      <c r="C7" s="11" t="s">
        <v>1915</v>
      </c>
    </row>
    <row r="8" customFormat="false" ht="15" hidden="false" customHeight="false" outlineLevel="0" collapsed="false">
      <c r="A8" s="12" t="s">
        <v>256</v>
      </c>
      <c r="B8" s="12" t="s">
        <v>1916</v>
      </c>
      <c r="C8" s="12" t="s">
        <v>1917</v>
      </c>
    </row>
    <row r="9" customFormat="false" ht="15" hidden="false" customHeight="false" outlineLevel="0" collapsed="false">
      <c r="A9" s="11" t="s">
        <v>39</v>
      </c>
      <c r="B9" s="11" t="s">
        <v>1918</v>
      </c>
      <c r="C9" s="11" t="s">
        <v>1919</v>
      </c>
    </row>
    <row r="10" customFormat="false" ht="15" hidden="false" customHeight="false" outlineLevel="0" collapsed="false">
      <c r="A10" s="12" t="s">
        <v>234</v>
      </c>
      <c r="B10" s="12" t="s">
        <v>1920</v>
      </c>
      <c r="C10" s="12" t="s">
        <v>1921</v>
      </c>
    </row>
    <row r="11" customFormat="false" ht="15" hidden="false" customHeight="false" outlineLevel="0" collapsed="false">
      <c r="A11" s="11" t="s">
        <v>320</v>
      </c>
      <c r="B11" s="11" t="s">
        <v>1922</v>
      </c>
      <c r="C11" s="11" t="s">
        <v>1923</v>
      </c>
    </row>
    <row r="12" customFormat="false" ht="23.85" hidden="false" customHeight="false" outlineLevel="0" collapsed="false">
      <c r="A12" s="12" t="s">
        <v>1924</v>
      </c>
      <c r="B12" s="12" t="s">
        <v>1925</v>
      </c>
      <c r="C12" s="12" t="s">
        <v>1926</v>
      </c>
    </row>
  </sheetData>
  <autoFilter ref="A4:C12"/>
  <mergeCells count="2">
    <mergeCell ref="A1:C1"/>
    <mergeCell ref="A2:C2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LibreOffice/26.2.2.2$Linux_AARCH64 LibreOffice_project/620$Build-2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2026-05-26T12:17:53Z</dcterms:created>
  <dc:creator>openpyxl</dc:creator>
  <dc:description/>
  <dc:language>en-US</dc:language>
  <cp:lastModifiedBy/>
  <dcterms:modified xsi:type="dcterms:W3CDTF">2026-05-26T12:17:53Z</dcterms:modified>
  <cp:revision>0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